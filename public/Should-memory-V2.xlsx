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내가 모은 문장" sheetId="1" r:id="rId5"/>
    <sheet state="visible" name="F5 랜덤 문장 보기" sheetId="2" r:id="rId6"/>
    <sheet state="visible" name="유용한 툴(GPTs, Youtube 등)" sheetId="3" r:id="rId7"/>
  </sheets>
  <definedNames>
    <definedName hidden="1" localSheetId="0" name="_xlnm._FilterDatabase">'내가 모은 문장'!$A$1:$F$1044</definedName>
  </definedNames>
  <calcPr/>
</workbook>
</file>

<file path=xl/sharedStrings.xml><?xml version="1.0" encoding="utf-8"?>
<sst xmlns="http://schemas.openxmlformats.org/spreadsheetml/2006/main" count="3409" uniqueCount="3351">
  <si>
    <t>번호</t>
  </si>
  <si>
    <t>입력일</t>
  </si>
  <si>
    <t>쉬움: 1
어려움: 2</t>
  </si>
  <si>
    <t>내가 모은 영어 문장</t>
  </si>
  <si>
    <t>한글 뜻</t>
  </si>
  <si>
    <t>메모</t>
  </si>
  <si>
    <t>look forward to</t>
  </si>
  <si>
    <t>~을 기대하다</t>
  </si>
  <si>
    <t>nip it in the bud</t>
  </si>
  <si>
    <t>문제를 초기에 차단하다</t>
  </si>
  <si>
    <t>change of scenery</t>
  </si>
  <si>
    <t>기분전환, 상황의변화</t>
  </si>
  <si>
    <t>blow off steam</t>
  </si>
  <si>
    <t>스트레스를 풀다</t>
  </si>
  <si>
    <t>sink or swim</t>
  </si>
  <si>
    <t>죽기 아니면 살기</t>
  </si>
  <si>
    <t>Up in the air</t>
  </si>
  <si>
    <t>아직 미정인</t>
  </si>
  <si>
    <t>Cave in</t>
  </si>
  <si>
    <t>굴복하다, 무너지다</t>
  </si>
  <si>
    <t>Pay off</t>
  </si>
  <si>
    <t>성과를 보다,</t>
  </si>
  <si>
    <t>In moderation</t>
  </si>
  <si>
    <t>적당히</t>
  </si>
  <si>
    <t>go/quit cold turkey</t>
  </si>
  <si>
    <t>습관을) 한번에 끊다</t>
  </si>
  <si>
    <t>get the hang of it.</t>
  </si>
  <si>
    <t>감을 잡다, 요령이 생기다</t>
  </si>
  <si>
    <t>bite the bullet</t>
  </si>
  <si>
    <t>이를 악물고 참다(용기내서)</t>
  </si>
  <si>
    <t>get back on track</t>
  </si>
  <si>
    <t>다시 정상으로 돌아도다</t>
  </si>
  <si>
    <t>apply oneself</t>
  </si>
  <si>
    <t xml:space="preserve">자신의 온 힘과 
주의를 기울여 열심히 하다 / 
몰두하다 </t>
  </si>
  <si>
    <t>get to the bottom of something</t>
  </si>
  <si>
    <t>진상을 규명하다. 근본원인을 찾다</t>
  </si>
  <si>
    <t>One step at a time</t>
  </si>
  <si>
    <t>한번에 한걸음</t>
  </si>
  <si>
    <t>Keep an eye out</t>
  </si>
  <si>
    <t>주의깊게 보다.</t>
  </si>
  <si>
    <t>feast on something</t>
  </si>
  <si>
    <t>마음껏 먹다</t>
  </si>
  <si>
    <t xml:space="preserve">are drawn to ~ </t>
  </si>
  <si>
    <t>~ 에 끌린다</t>
  </si>
  <si>
    <t>get off on the wrong foot</t>
  </si>
  <si>
    <t>처음부터 잘못 시작하다</t>
  </si>
  <si>
    <t>put oneself in someone's shoes</t>
  </si>
  <si>
    <t>~ 의 입장이 되어보다</t>
  </si>
  <si>
    <t>cut someone some slack</t>
  </si>
  <si>
    <t>좀 봐주다.</t>
  </si>
  <si>
    <t>go easy on</t>
  </si>
  <si>
    <t>살살다루다, 을 조금만쓰다</t>
  </si>
  <si>
    <t>heavy on</t>
  </si>
  <si>
    <t>~을 많이 넣다 / 많이 쓰다 / 
강조하다</t>
  </si>
  <si>
    <t>Debby downer</t>
  </si>
  <si>
    <t>늘 부정적이거나 우울한말을 해서
분위기를 가라 앉히는 사람</t>
  </si>
  <si>
    <t>wet blanket</t>
  </si>
  <si>
    <t>김빠지게 하는 사람</t>
  </si>
  <si>
    <t>In tandem</t>
  </si>
  <si>
    <t>함께 나란히</t>
  </si>
  <si>
    <t>straighten something out</t>
  </si>
  <si>
    <t xml:space="preserve">문제를 )바로 잡다 </t>
  </si>
  <si>
    <t>tone up</t>
  </si>
  <si>
    <t>단련하다, 탄탄하게 만들다</t>
  </si>
  <si>
    <t>you have done the hard part</t>
  </si>
  <si>
    <t>어려운 고비는 넘겼어요</t>
  </si>
  <si>
    <t>keep someone company</t>
  </si>
  <si>
    <t>곁에 있어주다, 말동무가 되다</t>
  </si>
  <si>
    <t>hit it off</t>
  </si>
  <si>
    <t>죽이맞다. 잘 통하다</t>
  </si>
  <si>
    <t>come across something</t>
  </si>
  <si>
    <t>우연히 발견하다. 만나다</t>
  </si>
  <si>
    <t>Point someone in the right direction</t>
  </si>
  <si>
    <t>에게 길을 알려주다.</t>
  </si>
  <si>
    <t>Pick at something</t>
  </si>
  <si>
    <t>깨작거리며 먹다..</t>
  </si>
  <si>
    <t>icing on the cake</t>
  </si>
  <si>
    <t>더할나위없이 좋은것. 금상첨화</t>
  </si>
  <si>
    <t>go bad</t>
  </si>
  <si>
    <t>상하다</t>
  </si>
  <si>
    <t xml:space="preserve">fed up with </t>
  </si>
  <si>
    <t>~에 질린</t>
  </si>
  <si>
    <t>push through</t>
  </si>
  <si>
    <t>어려움을 극복하다. 끝까지 해내다</t>
  </si>
  <si>
    <t>turn a corner</t>
  </si>
  <si>
    <t>고비를 넘기다. 상황이 호전되다</t>
  </si>
  <si>
    <t>go out of one's way</t>
  </si>
  <si>
    <t>일부러 수고하다.. 특별이 신경쓰다</t>
  </si>
  <si>
    <t>pull one's weight</t>
  </si>
  <si>
    <t>자기 임무를 다하다.</t>
  </si>
  <si>
    <t>dead weight</t>
  </si>
  <si>
    <t>아무것도 안하는 사람
도움이 안 되고 짐만 되는 사람이나 물건</t>
  </si>
  <si>
    <t>get a feel for a place</t>
  </si>
  <si>
    <t>의 분위기를 파악하다</t>
  </si>
  <si>
    <t>chill</t>
  </si>
  <si>
    <t>느긋한, 편안한</t>
  </si>
  <si>
    <t>guilty as charged</t>
  </si>
  <si>
    <t>인정하다, 내잘못이 맞다.</t>
  </si>
  <si>
    <t>eat like a horse</t>
  </si>
  <si>
    <t>아주 많이 먹다</t>
  </si>
  <si>
    <t>I'll savor every bite</t>
  </si>
  <si>
    <t>한입 한입 음미하면서 먹을께.</t>
  </si>
  <si>
    <t>food is my favorite way to show I care</t>
  </si>
  <si>
    <t>음식이야말로 내가 신경쓴다는것을
보여주는 제일 좋은 방법이야</t>
  </si>
  <si>
    <t xml:space="preserve">shed light on </t>
  </si>
  <si>
    <t>해명하다. 설명하다. 알게하다</t>
  </si>
  <si>
    <t>bend over backwards</t>
  </si>
  <si>
    <t>안간힘을쓰다. 애쓰다</t>
  </si>
  <si>
    <t>blow something out of proportion</t>
  </si>
  <si>
    <t>과장하다. 문제를 지나치게 
부풀리다.</t>
  </si>
  <si>
    <t>hit the/a wall</t>
  </si>
  <si>
    <t>한계에 부딪히다.</t>
  </si>
  <si>
    <t>show up</t>
  </si>
  <si>
    <t>나타나다</t>
  </si>
  <si>
    <t>Not necessarily</t>
  </si>
  <si>
    <t>꼭 그런건 아니야</t>
  </si>
  <si>
    <t>speak one's mind</t>
  </si>
  <si>
    <t>솔직히 말하다.</t>
  </si>
  <si>
    <t>get under one's skin</t>
  </si>
  <si>
    <t>~를 짜증나게 하다</t>
  </si>
  <si>
    <t>run late</t>
  </si>
  <si>
    <t>늦다 지각하다</t>
  </si>
  <si>
    <t>지켜보다,, 눈여겨보다</t>
  </si>
  <si>
    <t>I look forward to seeing you.</t>
  </si>
  <si>
    <t>숙어, to+동명사</t>
  </si>
  <si>
    <t>We need to nip this issue in the bud.</t>
  </si>
  <si>
    <t>관용적 표현</t>
  </si>
  <si>
    <t>I just needed a change of scenery</t>
  </si>
  <si>
    <t>나는 기분전환이 필요해</t>
  </si>
  <si>
    <t>I need to blow off some steam. 
I will go jogging after work</t>
  </si>
  <si>
    <t>나 스트레스를 풀어야 겠어</t>
  </si>
  <si>
    <t>First day on the new job?
Yep. It is sink or swim now</t>
  </si>
  <si>
    <t>Our vacation plan are still up in the air</t>
  </si>
  <si>
    <t>I almost caved in and bought ice cream.
Do you have cake? No I didnt't cave in</t>
  </si>
  <si>
    <t>나는 거의 유혹에 넘어가 아이스크림 살뻔했다.
너 케익먹었어.. 아니 굴복하지 않았어</t>
  </si>
  <si>
    <t>All you hard work is paying off
Saving $50 a month is paying off</t>
  </si>
  <si>
    <t>너의 모든 노력이 보상받고 있네.
한달에 50달러 저금한게 결실을 맺고 있다</t>
  </si>
  <si>
    <t>Do you still eat dessert?
yes but only in moderation</t>
  </si>
  <si>
    <t>Do you quit cold turkey and stopped smoking overnight</t>
  </si>
  <si>
    <t>너는 하룻밤사이에 담배를 단번에 끊었나요?</t>
  </si>
  <si>
    <t>How's your new job? 
I am starting to get the hang of it.</t>
  </si>
  <si>
    <t>이제 감을 좀 잡았어</t>
  </si>
  <si>
    <t>You look nervous?
I have to bite the bullet and tell my boss 
I made a mistake</t>
  </si>
  <si>
    <t>용기내서 내가 실수 했다는것을 말해야되</t>
  </si>
  <si>
    <t>I am finally back on track</t>
  </si>
  <si>
    <t>다시 정상으로 돌아왔어</t>
  </si>
  <si>
    <t>You'll be surprised what you can
do when you apply yourself
She applied herself to learning Spanish 
and became fluent in a year</t>
  </si>
  <si>
    <t>전념하면 내가 무엇을 할수 있는지에 
놀라게 될꺼야
그녀는 스페인어 공부에 몰두해서 
1년 만에 유창하게 되었다.</t>
  </si>
  <si>
    <t>We need to get to the bottom of 
 why the SW keeps crashing</t>
  </si>
  <si>
    <t>I feel like I have so far to go
Don't worry - Just take it one step at a time.</t>
  </si>
  <si>
    <t>갈길이 너무 먼거 같아. 한걸음씩 걸어</t>
  </si>
  <si>
    <t>Keep an eye out for bathroom.
Keep an eye out for any discount</t>
  </si>
  <si>
    <t>화장실있나 잘봐.
할인하는거 있나 잘봐</t>
  </si>
  <si>
    <t>I  am ready to feast on that lasagna.
We feasted on turkey and stuffing all day</t>
  </si>
  <si>
    <t>라자냐를 실컷 먹을 준비가 되었다. 
우리는  속을 채운 터키를 하루 종일 실컷 먹었다</t>
  </si>
  <si>
    <t>Bears are drawn to the smell of food</t>
  </si>
  <si>
    <t>곰은 음식냄새에 끌린다</t>
  </si>
  <si>
    <t>I think we got off on the wrong foot yesterday
I think I got off on the wrong foot with my new coworker</t>
  </si>
  <si>
    <t>I am trying to put myself in his shoes</t>
  </si>
  <si>
    <t>그의 입장이 되어 보려고 노력중이야</t>
  </si>
  <si>
    <t>Let's cut her some slack. She is dealing with a family issue
cut me some slack.</t>
  </si>
  <si>
    <t>그녀를 좀 봐주자.. 그녀는 가족문제로 힘든 상황이야
나좀 봐줘</t>
  </si>
  <si>
    <t>Let's go easy on your shoulder for now
you should go easy on the salt.</t>
  </si>
  <si>
    <t>지금은 어깨에 무리하지마
소금을 너무 많이 넣지마</t>
  </si>
  <si>
    <t>Go heavy on the onions, please.
Go easy on the salt, but go heavy on the cheese.
He went heavy on the perfume today.
The chef went heavy on the garlic.</t>
  </si>
  <si>
    <t>→ 양파를 많이 넣어 주세요.
→ 소금은 적게 넣고, 치즈는 많이 넣어 주세요.
→ 오늘 그는 향수를 너무 많이 뿌렸어요.
→ 요리사가 마늘을 듬뿍 넣었어요.</t>
  </si>
  <si>
    <t>complete debby downer</t>
  </si>
  <si>
    <t>The invoice was wrong, but I straightened it out
You better be quiet, or I’m going to straighten you out 
— which means you’ll get a whoopin.</t>
  </si>
  <si>
    <t>송장이 잘못되었는데 내가 바로 잡았어.
조용히 안 하면 내가 너를 혼내줄 거야, 
그건 너가 맞는다는 뜻이지.</t>
  </si>
  <si>
    <t>your arms look stronger 
thanks I've really toned up.
When I start exercising, I don't want to get big, 
I just want to be toned.</t>
  </si>
  <si>
    <t>너 팔이 튼튼해 보여
고마워 정말 많이 단련했어.
내가 운동 시작할때 나는 단지 몸이 
커지는것을
원하는것이 아니라 탄탄해지길 원해</t>
  </si>
  <si>
    <t>I'll keep you company while you wait.
keep me company</t>
  </si>
  <si>
    <t>내가 기다리는 동안 함께 있어 줄께
옆에 있어줘</t>
  </si>
  <si>
    <t>We hit if off the moment we met</t>
  </si>
  <si>
    <t>우리는 만난 순간부터 죽이 잘 맞았다</t>
  </si>
  <si>
    <t>I came across your blog while looking for travel tips.</t>
  </si>
  <si>
    <t>여행팁을 찾다가 우연히 당신의 블로그를 봤어요</t>
  </si>
  <si>
    <t>Could you point me in the right direction 
to the city museum</t>
  </si>
  <si>
    <t>시립박물관에 가는길을 알려주시겠어요</t>
  </si>
  <si>
    <t>Don't just pick at it. That stew deserves to be savored</t>
  </si>
  <si>
    <t>깨작거리지마. 그 스투는 제대로 음미하면서
먹어야지</t>
  </si>
  <si>
    <t>And the party tonight will be the icing on the cake.</t>
  </si>
  <si>
    <t>Check the fridge. What's that smell in the fridge?
The leftover chicken must have gone bad.
Something stinks. Did  the milk go bad?</t>
  </si>
  <si>
    <t>냉장고를 확인해봐. 냉장고에 냄새는 뭐야..
치킨 남은게 상했나봐
뭔가 냄새가 나는데.. 우유가 상했나</t>
  </si>
  <si>
    <t>You look frustrated. Everything is okay.
Honestly I'm fed up with all these last-minute changes 
at work.
I am fed up with your attitude.
I am fed up with this bureaucracy</t>
  </si>
  <si>
    <t>너 짜증나보여.. 괜찮아.
솔직히 말해서. 회사에서 막판에 변경되는일이
지긋지긋해.
너의 태도에.,, 이 관료주의에 질렸어</t>
  </si>
  <si>
    <t>This part is tough. You can do it, just push through.
She pushed through the pain to finish the set</t>
  </si>
  <si>
    <t>이 부분이 너무 힘들어.
넌 할수 있어. 그냥 끝까지 해.
그녀는 고통을 이겨내고 그 세트를 마쳤다</t>
  </si>
  <si>
    <t>Isn't that how it is?
The things that are best for you are the things 
you don't want to do the most.</t>
  </si>
  <si>
    <t>그게 원래 그런 거 아니야?
너에게 가장 좋은 일들이란,
정작 가장 하기 싫은 일들이야.</t>
  </si>
  <si>
    <t>Things are looking up. I think the company had 
turned a corner
I am turning a corner</t>
  </si>
  <si>
    <t>상황이 좋아지고 있어.
회사가 고비를 넘긴거 같아.
고비를 넘기고 잇는거 같아</t>
  </si>
  <si>
    <t>She always goes out of her way to cook for me.
I really go out of my way to make you happy.</t>
  </si>
  <si>
    <t>그녀는 애써서 나에게 요리를 해주셔.
널 행복하게 해주려고 진짜 많이 신경 써.</t>
  </si>
  <si>
    <t xml:space="preserve">I try to pull my weight. </t>
  </si>
  <si>
    <t xml:space="preserve">내 몫을 다하려고 노력하다.. </t>
  </si>
  <si>
    <t>I like to get a feel for the place before heading out</t>
  </si>
  <si>
    <t>나가기전에 숙소 분위기를 파악하고 싶어요</t>
  </si>
  <si>
    <t>It seems like a really chill hostel
He is really chill. He never gets annoyed about anything</t>
  </si>
  <si>
    <t>정말 편안한 호스텔 같아요
그는 정말 느긋해서 어떤일에도 짜증을 내지 않는다</t>
  </si>
  <si>
    <t>Did you eat the last piece of cake. Guilty as charged.
I know you have got a sweet tooth.
guilty as charged. 
I eat like a horse when it comes to sweets</t>
  </si>
  <si>
    <t>케이크 마지막 조각 먹었어.. 맞아.. 내가 범인이야.
내가 단것을 좋아하는걸 알아.
인정할께..
단것이라면 엄청먹어</t>
  </si>
  <si>
    <t>He is so thin. but he eats like a horse</t>
  </si>
  <si>
    <t>그는 무척 말랐지만. 아주 많이 먹어</t>
  </si>
  <si>
    <t>thanks for thinking of me.</t>
  </si>
  <si>
    <t>생각해줘서 고마워</t>
  </si>
  <si>
    <t>Let me get you a glass of milk to go with them</t>
  </si>
  <si>
    <t>그것과 같이 먹게 우유한잔 줄께</t>
  </si>
  <si>
    <t>that documentary really opened my eyes
I agree - it shed light on the issues I never knew about</t>
  </si>
  <si>
    <t xml:space="preserve">그 다큐는 나의 눈을 뜨게 했어.
동감이야. 그건 내가 전혀 몰랐던 문제점들을
알게 해줬어.. </t>
  </si>
  <si>
    <t>It really shed light on what kind of person he is.
He was really wolf though the look like a sheep.</t>
  </si>
  <si>
    <t>그 일로 그가 어떤사람인지 알게 해줬어
그는 겉보기엔 양 같았지만, 실제로는 진짜 늑대였어.</t>
  </si>
  <si>
    <t>I assure you, we've been bending over backwards
to fix your computer issues</t>
  </si>
  <si>
    <t>분명히 말씀드리는데
우리는 고객의 컴퓨터 문제를 해결하기 위해
안간힘을쓰고 있읍니다,</t>
  </si>
  <si>
    <t>I get it. but let's not blow things out of proportion.
we're closing to fixing it.</t>
  </si>
  <si>
    <t>이해합니다.
하지만 너무 확대해석하지 맙시다.
이문제를 거의해결했어요</t>
  </si>
  <si>
    <t>I hit the wall halfway through my run</t>
  </si>
  <si>
    <t>나는 달리다가 중간에서 한계를 느겼다.</t>
  </si>
  <si>
    <t>I almost didn't come today.
I'm glad you showed up - it matters</t>
  </si>
  <si>
    <t>나 오늘 못 올뻔했어
와 줘서 기뻐. 그게 중요한거야.</t>
  </si>
  <si>
    <t>Just showing up is half the battle</t>
  </si>
  <si>
    <t>그냥 참석하는것만으로도 반은 이긴셈이야</t>
  </si>
  <si>
    <t>Not necessarily. The stock market fluctuates all the time</t>
  </si>
  <si>
    <t>꼭 그런건 아니야. 주식은 항상 변동하니까</t>
  </si>
  <si>
    <t>He always speaks his mind, even in meeting</t>
  </si>
  <si>
    <t>그는 항상 솔직히 말한다. 회의중에도</t>
  </si>
  <si>
    <t>she tends to speak her mind about everything
a little too freely</t>
  </si>
  <si>
    <t>모든일에 대해 자기 생각을 좀 너무 거리낌없이
말하는 편이야</t>
  </si>
  <si>
    <t>It kind of gets under my skin when she asks about
my personal life</t>
  </si>
  <si>
    <t>내 사생활을 물어볼땐 짜증이 나</t>
  </si>
  <si>
    <t>His rude comments really get under my skin</t>
  </si>
  <si>
    <t>그의 무례한 말들이 나를 짜증나게 해</t>
  </si>
  <si>
    <t>Are you almost here?
I'm runnung late. But I'll be there in 10 minutes</t>
  </si>
  <si>
    <t>너 거의 다왔어
늦어지고 있어. 그래도 10분후에 도착할꺼야</t>
  </si>
  <si>
    <t>I'm running late because the traffic is so awful</t>
  </si>
  <si>
    <t>교통체증이 심해 늦어지고 있어</t>
  </si>
  <si>
    <t>While shopping, keep an eye out for any discounts</t>
  </si>
  <si>
    <t>쇼핑할때는 할인상품이 있는지 눈여겨 보세요</t>
  </si>
  <si>
    <t>I figured you would skip the party</t>
  </si>
  <si>
    <t>너가 파티에 안올줄 알았어</t>
  </si>
  <si>
    <t>I figured you would need a ride to the airport</t>
  </si>
  <si>
    <t>너가 공항까지 차가 필요할거라 생각했어</t>
  </si>
  <si>
    <t>My social battery is drained</t>
  </si>
  <si>
    <t>This place is lit</t>
  </si>
  <si>
    <t>I just happened to find it</t>
  </si>
  <si>
    <t>I slept in very well</t>
  </si>
  <si>
    <t>Let me think about it</t>
  </si>
  <si>
    <t>I will  think about it</t>
  </si>
  <si>
    <t>It is my vibe</t>
  </si>
  <si>
    <t>Can I pet your dog</t>
  </si>
  <si>
    <t>This apple is sweet to me, and good for me</t>
  </si>
  <si>
    <t>I'll see what I can do</t>
  </si>
  <si>
    <t>It is a steal</t>
  </si>
  <si>
    <t>That is a rip-off</t>
  </si>
  <si>
    <t>it is what it is</t>
  </si>
  <si>
    <t>My mind is racing</t>
  </si>
  <si>
    <t>The weekend feel a lifetime away</t>
  </si>
  <si>
    <t>Can I have a bite?</t>
  </si>
  <si>
    <t>It takes one to know one</t>
  </si>
  <si>
    <t>Ir is way too expensive</t>
  </si>
  <si>
    <t>Choice have consequences</t>
  </si>
  <si>
    <t>You don't want to come across as nosy.</t>
  </si>
  <si>
    <t>I told you to always be on your toes!
Why won't you listen to me?</t>
  </si>
  <si>
    <t>I'm not telling you this stuff for no reason</t>
  </si>
  <si>
    <t>I was very clear about you responding quickly when I text.</t>
  </si>
  <si>
    <t>I'm stuffed=I'm quite full=I'm going to burst</t>
  </si>
  <si>
    <t>I'm wrecked</t>
  </si>
  <si>
    <t>I'm in a pickle</t>
  </si>
  <si>
    <t>I'm bursting</t>
  </si>
  <si>
    <t>I'm pissed off</t>
  </si>
  <si>
    <t>I am not being nosy</t>
  </si>
  <si>
    <t>I am satisfied</t>
  </si>
  <si>
    <t>swish, stomp, throw</t>
  </si>
  <si>
    <t>ask after</t>
  </si>
  <si>
    <t>bring up</t>
  </si>
  <si>
    <t xml:space="preserve">Look up to </t>
  </si>
  <si>
    <t>Fuss over</t>
  </si>
  <si>
    <t>butter up</t>
  </si>
  <si>
    <t>I'm starving. let's eat</t>
  </si>
  <si>
    <t>Don't rush me</t>
  </si>
  <si>
    <t>I'll give it a shot</t>
  </si>
  <si>
    <t>That's messed up</t>
  </si>
  <si>
    <t>I'm in charge</t>
  </si>
  <si>
    <t>come to think of it ~</t>
  </si>
  <si>
    <t xml:space="preserve">I can't tell if ~ </t>
  </si>
  <si>
    <t xml:space="preserve">Speaking of ~ </t>
  </si>
  <si>
    <t>There is no way ~</t>
  </si>
  <si>
    <t xml:space="preserve">When It comes to ~ </t>
  </si>
  <si>
    <t>Don't be quick to judge</t>
  </si>
  <si>
    <t>My sisters are quick to criticize my decisions</t>
  </si>
  <si>
    <t>After that long meeting, my social battery is totally drained.</t>
  </si>
  <si>
    <t>A: You’re such a liar.
B: It takes one to know one.</t>
  </si>
  <si>
    <t>You may have freedom to make a choice, 
but there is a price
to every choice that you make.</t>
  </si>
  <si>
    <t>I've eaten a lot and I can't eat more</t>
  </si>
  <si>
    <t>I'm very tired</t>
  </si>
  <si>
    <t>I'm in a difficult or tricky situation</t>
  </si>
  <si>
    <t>I need to go to the toilet very soon</t>
  </si>
  <si>
    <t>I am very angry about something</t>
  </si>
  <si>
    <t>She asked after his mom.</t>
  </si>
  <si>
    <t>He brought up the issue</t>
  </si>
  <si>
    <t>He looks up to his teacher</t>
  </si>
  <si>
    <t>Mom fussed over her child</t>
  </si>
  <si>
    <t>He buttered up his boss</t>
  </si>
  <si>
    <t>Come to think of it, we forgot to lock the door</t>
  </si>
  <si>
    <t>I can't tell if the baby is laughing or crying</t>
  </si>
  <si>
    <t>Speaking of money, did you get paid yet?</t>
  </si>
  <si>
    <t>돈애기가 나와서 말인데, 너 월급 받았어</t>
  </si>
  <si>
    <t>There is no way I can do  that.</t>
  </si>
  <si>
    <t>내가 그걸 할수 있을리가 없어</t>
  </si>
  <si>
    <t>When It comes to English, Practice makes perfect</t>
  </si>
  <si>
    <t>영어에 관해서 라면 연습이 완벽을 만들지</t>
  </si>
  <si>
    <t>Some people are quick to quit when they encounter challenges</t>
  </si>
  <si>
    <t>어떤사람들은 어려움에 부딪히면 바로 포기한다</t>
  </si>
  <si>
    <t>crack down</t>
  </si>
  <si>
    <t>단속하다</t>
  </si>
  <si>
    <t>cracking down on drunken driving</t>
  </si>
  <si>
    <t>음주운전 단속</t>
  </si>
  <si>
    <t>keep tabs on someone</t>
  </si>
  <si>
    <t>감시하다</t>
  </si>
  <si>
    <t>my boss keep tabs on workers</t>
  </si>
  <si>
    <t>보스가 직원들을 감시한다</t>
  </si>
  <si>
    <t>desert</t>
  </si>
  <si>
    <t>사막,버리다</t>
  </si>
  <si>
    <t>deserting his family</t>
  </si>
  <si>
    <t>그의 가족을 버리다</t>
  </si>
  <si>
    <t>consolidate</t>
  </si>
  <si>
    <t>통합하다,강화하다</t>
  </si>
  <si>
    <t>enthrone</t>
  </si>
  <si>
    <t>왕좌에 앉히다</t>
  </si>
  <si>
    <t>conjure</t>
  </si>
  <si>
    <t>떠올리다</t>
  </si>
  <si>
    <t>Inquire</t>
  </si>
  <si>
    <t>조사하다</t>
  </si>
  <si>
    <t>antecedents</t>
  </si>
  <si>
    <t>전례</t>
  </si>
  <si>
    <t>casuality</t>
  </si>
  <si>
    <t>인과관계,원인작용</t>
  </si>
  <si>
    <t>hindrance</t>
  </si>
  <si>
    <t>방해(요인)</t>
  </si>
  <si>
    <t>expedition</t>
  </si>
  <si>
    <t>탐험,원정</t>
  </si>
  <si>
    <t>gout</t>
  </si>
  <si>
    <t>통풍,맛, 미각</t>
  </si>
  <si>
    <t>afflict</t>
  </si>
  <si>
    <t>괴롭히다</t>
  </si>
  <si>
    <t>he was afllicted by gout</t>
  </si>
  <si>
    <t>그는 통풍때문에 괴롭다</t>
  </si>
  <si>
    <t>inadvertently</t>
  </si>
  <si>
    <t>무심코, 의도치 않게</t>
  </si>
  <si>
    <t>biblical proportions</t>
  </si>
  <si>
    <t>엄청난 규모의</t>
  </si>
  <si>
    <t>book of revelation</t>
  </si>
  <si>
    <t>요한계시록,묵시록</t>
  </si>
  <si>
    <t>net him a huge pay day</t>
  </si>
  <si>
    <t>거액의 사례비를 주다</t>
  </si>
  <si>
    <t>repulsive</t>
  </si>
  <si>
    <t>역겨운, disgusting</t>
  </si>
  <si>
    <t>reclusive</t>
  </si>
  <si>
    <t>은퇴한,고독하게사는, 은둔한</t>
  </si>
  <si>
    <t>interfere</t>
  </si>
  <si>
    <t>방해하다, 간섭하다</t>
  </si>
  <si>
    <t>delustion</t>
  </si>
  <si>
    <t>망상</t>
  </si>
  <si>
    <t>patient plagued by delusion</t>
  </si>
  <si>
    <t>망상증 환자</t>
  </si>
  <si>
    <t>repress</t>
  </si>
  <si>
    <t>억압하다</t>
  </si>
  <si>
    <t>in tandem wirh</t>
  </si>
  <si>
    <t>나란히, 동시에</t>
  </si>
  <si>
    <t>Chris and Eric often work in tandem.</t>
  </si>
  <si>
    <t>크리스랑 에릭은 종종 동시에 함께 일하곤 하지.</t>
  </si>
  <si>
    <t>The online business operated in tandem
with offline sessions.</t>
  </si>
  <si>
    <t>온라인 사업은 오프라인 세션과
함께 운영되고 있었지.</t>
  </si>
  <si>
    <t>feeling of inferiority</t>
  </si>
  <si>
    <t>열등감</t>
  </si>
  <si>
    <t>hinge upon</t>
  </si>
  <si>
    <t>전적으로 ~ 에 달려있다</t>
  </si>
  <si>
    <t>my decision hinge upon your news</t>
  </si>
  <si>
    <t>내결정은 너의 소식에 달려있다</t>
  </si>
  <si>
    <t>tantamount to</t>
  </si>
  <si>
    <t>마찬가지로</t>
  </si>
  <si>
    <t>this is tantamount to betrayal</t>
  </si>
  <si>
    <t>이것은 배신과 마찬가지이다</t>
  </si>
  <si>
    <t>locomotive</t>
  </si>
  <si>
    <t>기관차,추진력</t>
  </si>
  <si>
    <t>orator</t>
  </si>
  <si>
    <t>웅변가</t>
  </si>
  <si>
    <t>impediment</t>
  </si>
  <si>
    <t>장애</t>
  </si>
  <si>
    <t>marvel</t>
  </si>
  <si>
    <t>놀라다</t>
  </si>
  <si>
    <t>acute insight</t>
  </si>
  <si>
    <t>날카로운 통찰력</t>
  </si>
  <si>
    <t>weak bid</t>
  </si>
  <si>
    <t>약한시도 노력</t>
  </si>
  <si>
    <t>a bid to restore peace</t>
  </si>
  <si>
    <t>평화회복을 위한 노력</t>
  </si>
  <si>
    <t>unilateral</t>
  </si>
  <si>
    <t>일방적인</t>
  </si>
  <si>
    <t xml:space="preserve">assert </t>
  </si>
  <si>
    <t>주장하다</t>
  </si>
  <si>
    <t>vulnerable</t>
  </si>
  <si>
    <t>취약한</t>
  </si>
  <si>
    <t>persona</t>
  </si>
  <si>
    <t>가면 허상</t>
  </si>
  <si>
    <t>pulverizing</t>
  </si>
  <si>
    <t>분쇄하다</t>
  </si>
  <si>
    <t>one swift blow</t>
  </si>
  <si>
    <t>신속한 한방</t>
  </si>
  <si>
    <t>refute</t>
  </si>
  <si>
    <t>반박하다</t>
  </si>
  <si>
    <t>fallacy</t>
  </si>
  <si>
    <t>오류 착오</t>
  </si>
  <si>
    <t>assertion</t>
  </si>
  <si>
    <t>주장</t>
  </si>
  <si>
    <t>insinuate</t>
  </si>
  <si>
    <t>암시하다</t>
  </si>
  <si>
    <t>entangled</t>
  </si>
  <si>
    <t>걸려든 말려든</t>
  </si>
  <si>
    <t>unscathed</t>
  </si>
  <si>
    <t>다치치않은 아무탈없는</t>
  </si>
  <si>
    <t>fabricated</t>
  </si>
  <si>
    <t>조작된</t>
  </si>
  <si>
    <t>unearth</t>
  </si>
  <si>
    <t>찾다</t>
  </si>
  <si>
    <t>misrepresent</t>
  </si>
  <si>
    <t>와전하다, 잘못전하다</t>
  </si>
  <si>
    <t>abrasive</t>
  </si>
  <si>
    <t>연마재</t>
  </si>
  <si>
    <t>stone ax</t>
  </si>
  <si>
    <t>돌도끼</t>
  </si>
  <si>
    <t>charm</t>
  </si>
  <si>
    <t>주문</t>
  </si>
  <si>
    <t>sorcery</t>
  </si>
  <si>
    <t>마법</t>
  </si>
  <si>
    <t>ward off disease</t>
  </si>
  <si>
    <t>질병을 예방하고</t>
  </si>
  <si>
    <t>avoid calamity</t>
  </si>
  <si>
    <t>재앙을 피하고</t>
  </si>
  <si>
    <t>deliberation</t>
  </si>
  <si>
    <t>고민, 숙고</t>
  </si>
  <si>
    <t>shiver in fear</t>
  </si>
  <si>
    <t>두려움에 떨다</t>
  </si>
  <si>
    <t>subside</t>
  </si>
  <si>
    <t>가라앉다, 누그러지다</t>
  </si>
  <si>
    <t>atheist</t>
  </si>
  <si>
    <t>무신론자</t>
  </si>
  <si>
    <t>secrete</t>
  </si>
  <si>
    <t>분비하다</t>
  </si>
  <si>
    <t>secretion</t>
  </si>
  <si>
    <t>분비물</t>
  </si>
  <si>
    <t>be susceptible to ~</t>
  </si>
  <si>
    <t>~ 에  손상받기 쉬운</t>
  </si>
  <si>
    <t xml:space="preserve">The old building is susceptible to damage from earthquakes. </t>
  </si>
  <si>
    <t>오랜빌딩은 지진에 취약하다.</t>
  </si>
  <si>
    <t>Children are more susceptible to colds than adults.</t>
  </si>
  <si>
    <t>아이들은 어른들보다 감기에 더 취약하다.</t>
  </si>
  <si>
    <t>put someone through the wringer</t>
  </si>
  <si>
    <t>~를 시련을 격게하다.</t>
  </si>
  <si>
    <t>come with the territory</t>
  </si>
  <si>
    <t>일상적인 일이 되다</t>
  </si>
  <si>
    <t>t is never easy to accept criticism, but it comes with the territory.</t>
  </si>
  <si>
    <t xml:space="preserve">비판을 받아들이는 것은 결코 쉽지 않다, 하지만 그건 늘 있는 일이다. </t>
  </si>
  <si>
    <t>forgo</t>
  </si>
  <si>
    <t>포기하다.</t>
  </si>
  <si>
    <t>blister</t>
  </si>
  <si>
    <t>물집</t>
  </si>
  <si>
    <t>He had to forgo his usual morning coffee to catch the early train</t>
  </si>
  <si>
    <t>그는 일찍 기차를 타기 위해 평소 아침 커피를 포기해야 했다</t>
  </si>
  <si>
    <t>have a craving</t>
  </si>
  <si>
    <t>갈망하다</t>
  </si>
  <si>
    <t xml:space="preserve">I have a craving for pizza. </t>
  </si>
  <si>
    <t>나는 피자가 땡겨</t>
  </si>
  <si>
    <t>dirt cheap</t>
  </si>
  <si>
    <t>값이 아주 싼</t>
  </si>
  <si>
    <t>Hotel rooms are dirt cheap today.</t>
  </si>
  <si>
    <t>오늘 호텔 방이 진짜 싸다.</t>
  </si>
  <si>
    <t>drive me up the wall</t>
  </si>
  <si>
    <t>나를 찌증나게 하다</t>
  </si>
  <si>
    <t>Her late habit drives me up the wall</t>
  </si>
  <si>
    <t>그녀의 늦은 습관은 나를 벽에 오르게 한다.</t>
  </si>
  <si>
    <t>on the ball</t>
  </si>
  <si>
    <t>빠릿빠릿한</t>
  </si>
  <si>
    <t xml:space="preserve">He is really on the ball. </t>
  </si>
  <si>
    <t>그는 정말 똑똑해.</t>
  </si>
  <si>
    <t>I hate to spring this on you but</t>
  </si>
  <si>
    <t>갑자기 너에게 말하기 싫지만..</t>
  </si>
  <si>
    <t>The boss sprang several big changes to the project on me.</t>
  </si>
  <si>
    <t>사장님이 갑자기 프로젝트에 바꿔야할 부분에 대해서 갑작스럽게 이야기했어</t>
  </si>
  <si>
    <t xml:space="preserve">I hate to spring this on you at the last minute. 
</t>
  </si>
  <si>
    <t>갑자기 마지막에 이런말 하게 되서 미안한데</t>
  </si>
  <si>
    <t>sheer will</t>
  </si>
  <si>
    <t>순전한 의지</t>
  </si>
  <si>
    <t>grazing</t>
  </si>
  <si>
    <t>여러번 간식을 먹는것(소처림), 방목(풀먹는행위)</t>
  </si>
  <si>
    <t>hit the road</t>
  </si>
  <si>
    <t>길을 나서다</t>
  </si>
  <si>
    <t>hygienic</t>
  </si>
  <si>
    <t>위생적인</t>
  </si>
  <si>
    <t>poor hygienic</t>
  </si>
  <si>
    <t>비위생적인</t>
  </si>
  <si>
    <t>put a damper on something</t>
  </si>
  <si>
    <t>~ 에 찬물을 끼얹다, ~의 흥을깨다</t>
  </si>
  <si>
    <t xml:space="preserve">The bad weather really put a damper on our picnic plans.
</t>
  </si>
  <si>
    <t>나쁜 날씨가 우리의 소풍 계획을 정말 망쳤다</t>
  </si>
  <si>
    <t>bland</t>
  </si>
  <si>
    <t>싱거운</t>
  </si>
  <si>
    <t>hit the sack</t>
  </si>
  <si>
    <t>잠자다, 잠자리에 들다</t>
  </si>
  <si>
    <t>Are we loving our pets to death?</t>
  </si>
  <si>
    <t>우리는 반려동물을 죽도록 사랑하고 있을까?</t>
  </si>
  <si>
    <t>skimp on something</t>
  </si>
  <si>
    <t>~을 지나치게 아까디</t>
  </si>
  <si>
    <t>don't skimp on the onions</t>
  </si>
  <si>
    <t>양파 아끼지 말고 써</t>
  </si>
  <si>
    <t>drastic</t>
  </si>
  <si>
    <t>극적으로</t>
  </si>
  <si>
    <t>take the plunge</t>
  </si>
  <si>
    <t>단행을 결심하다</t>
  </si>
  <si>
    <t xml:space="preserve">After years of thinking, he finally took the plunge and quit his job to travel the world
</t>
  </si>
  <si>
    <t>몇 년 동안 생각한 끝에 그는 마침내 중요한 결정을 내리고 직장을 그만두고 세계 여행을 떠났습니다.</t>
  </si>
  <si>
    <t>grin and bear it</t>
  </si>
  <si>
    <t>웃어넘기며 참다, 울며 겨자 먹기</t>
  </si>
  <si>
    <t xml:space="preserve">​Just grin and bear it. </t>
  </si>
  <si>
    <t>그냥 웃어 넘겨.</t>
  </si>
  <si>
    <t>corner the market</t>
  </si>
  <si>
    <t>시장을 독점하다</t>
  </si>
  <si>
    <t>cut it</t>
  </si>
  <si>
    <t>예상만큼 좋다, 충분하다, 적당하다</t>
  </si>
  <si>
    <t>Your excuses don't cut it anymore</t>
  </si>
  <si>
    <t>너의 변명은 더 이상 통하지 않아</t>
  </si>
  <si>
    <t>Your grades don't cut it for that university</t>
  </si>
  <si>
    <t>네 성적으로는 그 대학에 가기 힘들 거야.</t>
  </si>
  <si>
    <t>wreck havoc</t>
  </si>
  <si>
    <t>큰 피해를 주다</t>
  </si>
  <si>
    <t>The recent storms have wreaked havoc on crops.</t>
  </si>
  <si>
    <t>최근 폭풍우들이 작물들에 피해를 줬다</t>
  </si>
  <si>
    <t>미연에 방지하다</t>
  </si>
  <si>
    <t>If you see a bad habit begin to develop, try to nip it in the bud so that it does not become ingrained.</t>
  </si>
  <si>
    <t>나쁜 습관이 생길 것 같으면 미리 몸에 배기전에 미리 없애려고 해봐</t>
  </si>
  <si>
    <t>run the numbers</t>
  </si>
  <si>
    <t>계산하다</t>
  </si>
  <si>
    <t>it is going to be expensive. I haven't run the numbers yet</t>
  </si>
  <si>
    <t>비쌀것 같애. 아직 계산해보지는 않았어</t>
  </si>
  <si>
    <t>stroke</t>
  </si>
  <si>
    <t>뇌졸증</t>
  </si>
  <si>
    <t>silver lining</t>
  </si>
  <si>
    <t>긍정적 측면, 희망</t>
  </si>
  <si>
    <t>blot</t>
  </si>
  <si>
    <t>오점, 얼룩</t>
  </si>
  <si>
    <t>a lasting blot</t>
  </si>
  <si>
    <t>지속되는 오점</t>
  </si>
  <si>
    <t>fresh into his presidency</t>
  </si>
  <si>
    <t>대통령으로서의 경험이 없는</t>
  </si>
  <si>
    <t>swamp</t>
  </si>
  <si>
    <t>압도당하다, 인파로 넙치다, 늪</t>
  </si>
  <si>
    <t>tenuous</t>
  </si>
  <si>
    <t>얇은, 빈약한, 애매한</t>
  </si>
  <si>
    <t>undermine</t>
  </si>
  <si>
    <t>몰래손상시키다, 쇠퇴시키다</t>
  </si>
  <si>
    <t>unanimous</t>
  </si>
  <si>
    <t>만장일치의</t>
  </si>
  <si>
    <t>impulse</t>
  </si>
  <si>
    <t>충동, 자극</t>
  </si>
  <si>
    <t xml:space="preserve">blow the whistle on ~ </t>
  </si>
  <si>
    <t>~ 을 그만두게 하다. 폭로하다</t>
  </si>
  <si>
    <t xml:space="preserve">Companies should protect employees who blow the whistle on dishonest workmates and work practices </t>
  </si>
  <si>
    <t>회사는 정직하지 않은 직장 동료와 업무 행위를 고발하는 직원을 보호해야 한다.</t>
  </si>
  <si>
    <t>hasty</t>
  </si>
  <si>
    <t>성급한, 서두르는</t>
  </si>
  <si>
    <t>unanimity</t>
  </si>
  <si>
    <t>conformity</t>
  </si>
  <si>
    <t>일치</t>
  </si>
  <si>
    <t>repulsion</t>
  </si>
  <si>
    <t>거절</t>
  </si>
  <si>
    <t>embroil</t>
  </si>
  <si>
    <t>휘말리게하다</t>
  </si>
  <si>
    <t>home body</t>
  </si>
  <si>
    <t>집돌이</t>
  </si>
  <si>
    <t>lewd</t>
  </si>
  <si>
    <t>외설적인</t>
  </si>
  <si>
    <t>lewd behavior</t>
  </si>
  <si>
    <t>외설적인 행동</t>
  </si>
  <si>
    <t>as luck would have it</t>
  </si>
  <si>
    <t>운좋게도</t>
  </si>
  <si>
    <t>let's go back to square one</t>
  </si>
  <si>
    <t>원점으로 돌아가자</t>
  </si>
  <si>
    <t>fermenting process</t>
  </si>
  <si>
    <t>발효과정</t>
  </si>
  <si>
    <t>abstinence</t>
  </si>
  <si>
    <t>자제, 금욕</t>
  </si>
  <si>
    <t>espouse</t>
  </si>
  <si>
    <t>지지하다</t>
  </si>
  <si>
    <t>employee turnover</t>
  </si>
  <si>
    <t xml:space="preserve">직원 이직율 </t>
  </si>
  <si>
    <t>how often employee leaves verus come in</t>
  </si>
  <si>
    <t>직원 이직율</t>
  </si>
  <si>
    <t>in terms of ~</t>
  </si>
  <si>
    <t xml:space="preserve">~ 에 관해서 </t>
  </si>
  <si>
    <t>in terms of profits, it is doing good</t>
  </si>
  <si>
    <t>이익에 관해서는 좋다</t>
  </si>
  <si>
    <t xml:space="preserve">you don't happen to ~ </t>
  </si>
  <si>
    <t>너 혹시 ~ 하니.</t>
  </si>
  <si>
    <t>you don't happen to have the pizza, do you</t>
  </si>
  <si>
    <t>너 혹시 피자 먹은건 아니지</t>
  </si>
  <si>
    <t>You don't happen to have any left over?</t>
  </si>
  <si>
    <t>먹고 남은 것 좀 혹시 없나요?</t>
  </si>
  <si>
    <t>Do you happen to know about it?</t>
  </si>
  <si>
    <t>너 혹시 그거 아니?</t>
  </si>
  <si>
    <t>insatiable</t>
  </si>
  <si>
    <t>만족할줄 모르는, 탐욕스러운</t>
  </si>
  <si>
    <t>limb</t>
  </si>
  <si>
    <t>팔다리</t>
  </si>
  <si>
    <t>obesity</t>
  </si>
  <si>
    <t>비만</t>
  </si>
  <si>
    <t>complication</t>
  </si>
  <si>
    <t>합병증</t>
  </si>
  <si>
    <t>agony</t>
  </si>
  <si>
    <t>고뇌</t>
  </si>
  <si>
    <t>paunch</t>
  </si>
  <si>
    <t>똥배</t>
  </si>
  <si>
    <t xml:space="preserve">pocket book </t>
  </si>
  <si>
    <t>지갑, 재력</t>
  </si>
  <si>
    <t>compulsive</t>
  </si>
  <si>
    <t>못참는, 강박</t>
  </si>
  <si>
    <t>control freak</t>
  </si>
  <si>
    <t>통제광</t>
  </si>
  <si>
    <t>red flags</t>
  </si>
  <si>
    <t>위험신호</t>
  </si>
  <si>
    <t>the last thing I need</t>
  </si>
  <si>
    <t>정말 필요치 않는것</t>
  </si>
  <si>
    <t>cause a stir</t>
  </si>
  <si>
    <t>소동을 일으키다</t>
  </si>
  <si>
    <t>condolences</t>
  </si>
  <si>
    <t>조의</t>
  </si>
  <si>
    <t>a little goes a long way</t>
  </si>
  <si>
    <t>조금만 사용해도 효과가 크다</t>
  </si>
  <si>
    <t>hail</t>
  </si>
  <si>
    <t>환영하다, 인정받다, 출신</t>
  </si>
  <si>
    <t>who hailed from Italy</t>
  </si>
  <si>
    <t>이태리 출신인</t>
  </si>
  <si>
    <t>hail a cap</t>
  </si>
  <si>
    <t>택시를 부르다</t>
  </si>
  <si>
    <t>sly</t>
  </si>
  <si>
    <t>교활한</t>
  </si>
  <si>
    <t>incarnation</t>
  </si>
  <si>
    <t>화신</t>
  </si>
  <si>
    <t>trickery</t>
  </si>
  <si>
    <t>권모술수</t>
  </si>
  <si>
    <t>incarnation of trickery</t>
  </si>
  <si>
    <t>권모술수의 화신</t>
  </si>
  <si>
    <t>agonize</t>
  </si>
  <si>
    <t>고민하다</t>
  </si>
  <si>
    <t>psyche</t>
  </si>
  <si>
    <t>마음</t>
  </si>
  <si>
    <t>level out</t>
  </si>
  <si>
    <t>평평해지다</t>
  </si>
  <si>
    <t>flare up</t>
  </si>
  <si>
    <t>갑자기 심해지다</t>
  </si>
  <si>
    <t>is your knee flaring up again.</t>
  </si>
  <si>
    <t>너 무릎이 갑자기 아파진거야?</t>
  </si>
  <si>
    <t>did your migraine flare up again</t>
  </si>
  <si>
    <t>편두통이 심해졌어</t>
  </si>
  <si>
    <t>when my mom's arthritis flares up, she has to take pain medicine</t>
  </si>
  <si>
    <t>엄마의 관절염이 심해지면 진통제를 먹는다</t>
  </si>
  <si>
    <t>prank</t>
  </si>
  <si>
    <t>장난</t>
  </si>
  <si>
    <t>I am going to play a prank on kevin</t>
  </si>
  <si>
    <t>kevin에게 장난칠려구</t>
  </si>
  <si>
    <t>reminisce</t>
  </si>
  <si>
    <t>회상하다, 추억에 잠기다</t>
  </si>
  <si>
    <t>condescending</t>
  </si>
  <si>
    <t>잘난체하는, 빈정거리는</t>
  </si>
  <si>
    <t>patronize</t>
  </si>
  <si>
    <t>잘난체하다, 거만하다. 애용하다, 후원하다. 꼰대</t>
  </si>
  <si>
    <t>glued to sth</t>
  </si>
  <si>
    <t>~ 에 열중하는</t>
  </si>
  <si>
    <t>my kids spend all day glued to tablet</t>
  </si>
  <si>
    <t>애들이 타블렛에 하루종일 열중한다</t>
  </si>
  <si>
    <t>tech savvy</t>
  </si>
  <si>
    <t>기술 전문가</t>
  </si>
  <si>
    <t>ray of hope</t>
  </si>
  <si>
    <t>한줄기 희망</t>
  </si>
  <si>
    <t>are you in the mood for pizza?</t>
  </si>
  <si>
    <t>너 피자 먹을래</t>
  </si>
  <si>
    <t>comfort food</t>
  </si>
  <si>
    <t>soul food 한국에서만</t>
  </si>
  <si>
    <t>whip up ~</t>
  </si>
  <si>
    <t>~ 을 빨리 만들다</t>
  </si>
  <si>
    <t>if you want to whip up a salad,</t>
  </si>
  <si>
    <t>샐러드를 빨리 만들고 싶으면</t>
  </si>
  <si>
    <t>instigate</t>
  </si>
  <si>
    <t>부추기다</t>
  </si>
  <si>
    <t>remnants</t>
  </si>
  <si>
    <t>남는 부분, 자투리</t>
  </si>
  <si>
    <t>reckless</t>
  </si>
  <si>
    <t>무모한</t>
  </si>
  <si>
    <t>permeate</t>
  </si>
  <si>
    <t>스며들다, 퍼지다</t>
  </si>
  <si>
    <t>The air is permeated with smoke.</t>
  </si>
  <si>
    <t>대기는 연기로 충만해 있다</t>
  </si>
  <si>
    <t>reenact</t>
  </si>
  <si>
    <t>다시 재정하다, 재연하다</t>
  </si>
  <si>
    <t xml:space="preserve">pitch </t>
  </si>
  <si>
    <t>경기장</t>
  </si>
  <si>
    <t>thaw</t>
  </si>
  <si>
    <t>녹다, 해빙기</t>
  </si>
  <si>
    <t>obnoxious</t>
  </si>
  <si>
    <t>무례한, 불쾌한</t>
  </si>
  <si>
    <t>fed up with sth/so</t>
  </si>
  <si>
    <t>~에 진저리가 난</t>
  </si>
  <si>
    <t>i am so fed up with my upstairs neighbor</t>
  </si>
  <si>
    <t>위집 사람에 진저리가 난다</t>
  </si>
  <si>
    <t>get old</t>
  </si>
  <si>
    <t>질리다, 지겨워지다</t>
  </si>
  <si>
    <t>dad's jokes get old fast</t>
  </si>
  <si>
    <t>아빠 조크는 빨리 지겨워진다</t>
  </si>
  <si>
    <t>On one's own</t>
  </si>
  <si>
    <t>혼자서, 단독으로</t>
  </si>
  <si>
    <t>if you quit school, you are on your own</t>
  </si>
  <si>
    <t>학교 그만두면, 혼자 살아</t>
  </si>
  <si>
    <t>I did this project on my own</t>
  </si>
  <si>
    <t>I did this project all by myself</t>
  </si>
  <si>
    <t>I am on my own</t>
  </si>
  <si>
    <t>혼자 산다</t>
  </si>
  <si>
    <t>hump day</t>
  </si>
  <si>
    <t>수요일</t>
  </si>
  <si>
    <t>blushing</t>
  </si>
  <si>
    <t>빨개지다, 부끄러워하다</t>
  </si>
  <si>
    <t>Are you blushing?</t>
  </si>
  <si>
    <t>얼굴 빨개졌어</t>
  </si>
  <si>
    <t>easy on the joints</t>
  </si>
  <si>
    <t>관절에 무리가 가지 않아요</t>
  </si>
  <si>
    <t>it dosen't cause a lot of pain on your joints</t>
  </si>
  <si>
    <t>easy on the eyes</t>
  </si>
  <si>
    <t>pleasant to look at</t>
  </si>
  <si>
    <t>easy on the wallet</t>
  </si>
  <si>
    <t>돈 부담이 되지 않아요</t>
  </si>
  <si>
    <t>big break</t>
  </si>
  <si>
    <t>결정적인 성공, 큰 성공</t>
  </si>
  <si>
    <t>goodluck charm</t>
  </si>
  <si>
    <t>행운의 부적</t>
  </si>
  <si>
    <t>one's mind is wondering</t>
  </si>
  <si>
    <t>딴생각을 하다</t>
  </si>
  <si>
    <t>rid oneself of something</t>
  </si>
  <si>
    <t>something을 없애 버리다</t>
  </si>
  <si>
    <t>I've been trying to rid myself of this cold for two weeks</t>
  </si>
  <si>
    <t>난 이주동안 감기 없애려고 노력했다</t>
  </si>
  <si>
    <t>it must feel good to finally rid yourself of all that dept</t>
  </si>
  <si>
    <t>너가 그 모든 빛을 없애서 기분이 좋겠다.</t>
  </si>
  <si>
    <t>your makeup can wear off</t>
  </si>
  <si>
    <t>너의 메이크없은 서서히 없어질거야</t>
  </si>
  <si>
    <t>let's hope your enthusiasm doesn't wear off</t>
  </si>
  <si>
    <t>너의 열정이 사라지지 않길 바래</t>
  </si>
  <si>
    <t>you have to be prepared for your big break. grap that opportunity and run with it</t>
  </si>
  <si>
    <t>너의 성공을 위해 준비하고 있어야 되. 기회를 잡고서 달리는 거야</t>
  </si>
  <si>
    <t>stem the tide</t>
  </si>
  <si>
    <t>흐름을 저지하다</t>
  </si>
  <si>
    <t>stem the tide of inflation</t>
  </si>
  <si>
    <t>인플레이션의 흐름을 저지하다</t>
  </si>
  <si>
    <t>backdrop</t>
  </si>
  <si>
    <t>배경</t>
  </si>
  <si>
    <t>longevity</t>
  </si>
  <si>
    <t>장수</t>
  </si>
  <si>
    <t>barrier to entry</t>
  </si>
  <si>
    <t>진입 장벽</t>
  </si>
  <si>
    <t>barrier free bus</t>
  </si>
  <si>
    <t>모두가 편리하게 이용할 수 있는 버스</t>
  </si>
  <si>
    <t>과격한</t>
  </si>
  <si>
    <t>why can't I get this song out of my head. it stuck in my head</t>
  </si>
  <si>
    <t>왜 노래를 머리에서 떠나지 않지. 머리에 남아 있네</t>
  </si>
  <si>
    <t>ripple effect</t>
  </si>
  <si>
    <t>파급효과</t>
  </si>
  <si>
    <t>ripple</t>
  </si>
  <si>
    <t>파동, 잔물결</t>
  </si>
  <si>
    <t>like-minded</t>
  </si>
  <si>
    <t>생각이 비슷한</t>
  </si>
  <si>
    <t>hang out with someone</t>
  </si>
  <si>
    <t>시간을 보내다</t>
  </si>
  <si>
    <t>shoot the breeze</t>
  </si>
  <si>
    <t>수다 떨다</t>
  </si>
  <si>
    <t>watershed</t>
  </si>
  <si>
    <t>중대한 시기,  분수령</t>
  </si>
  <si>
    <t>tax break</t>
  </si>
  <si>
    <t>세금 면제</t>
  </si>
  <si>
    <t xml:space="preserve">infringe on </t>
  </si>
  <si>
    <t>권리를 침해하다</t>
  </si>
  <si>
    <t>plagiarize</t>
  </si>
  <si>
    <t>표절하다</t>
  </si>
  <si>
    <t>philanthropist</t>
  </si>
  <si>
    <t>자선가</t>
  </si>
  <si>
    <t>pledge</t>
  </si>
  <si>
    <t>서약-약속하다</t>
  </si>
  <si>
    <t>giving pledge</t>
  </si>
  <si>
    <t>기부 약속</t>
  </si>
  <si>
    <t>diversify</t>
  </si>
  <si>
    <t>다양화하다</t>
  </si>
  <si>
    <t>toned</t>
  </si>
  <si>
    <t>탄탄한(몸이)</t>
  </si>
  <si>
    <t>flabby</t>
  </si>
  <si>
    <t xml:space="preserve">늘어진, 뚱뚱한 </t>
  </si>
  <si>
    <t>you are looking really toned</t>
  </si>
  <si>
    <t>너의 몸이 정말 탄탄해 보여</t>
  </si>
  <si>
    <t>boils down</t>
  </si>
  <si>
    <t>요약하다, 집약하다</t>
  </si>
  <si>
    <t>it boils down to your commitment</t>
  </si>
  <si>
    <t>너의 의지에 달려있어</t>
  </si>
  <si>
    <t xml:space="preserve">take a toll on ~ </t>
  </si>
  <si>
    <t>~ 에 타격을 입하다, 안 좋게 하다</t>
  </si>
  <si>
    <t>it takes a toll on the kness like running</t>
  </si>
  <si>
    <t>달리기처럼 이것은 무릅에 안좋아</t>
  </si>
  <si>
    <t>crank up</t>
  </si>
  <si>
    <t>소리를 높이다</t>
  </si>
  <si>
    <t>crank up the music, it is the beatles</t>
  </si>
  <si>
    <t>비틀즈야, 음악소리좀 높여</t>
  </si>
  <si>
    <t>defiant</t>
  </si>
  <si>
    <t>도전적인, 반항적인</t>
  </si>
  <si>
    <t>defiance</t>
  </si>
  <si>
    <t>과감한 저항</t>
  </si>
  <si>
    <t>decree</t>
  </si>
  <si>
    <t>법령</t>
  </si>
  <si>
    <t>you've been coughing a lot lately</t>
  </si>
  <si>
    <t>요즘 기침 많이 하네</t>
  </si>
  <si>
    <t>have you seen a doctor</t>
  </si>
  <si>
    <t>병원 가봤어</t>
  </si>
  <si>
    <t>he said that years of smoking has taken a toll on my lungs</t>
  </si>
  <si>
    <t>오랜 흡연이 페를 안좋게 했대</t>
  </si>
  <si>
    <t>remorse</t>
  </si>
  <si>
    <t>깊은 후회, regret</t>
  </si>
  <si>
    <t>insurrection</t>
  </si>
  <si>
    <t>반역, 반란</t>
  </si>
  <si>
    <t>contrite</t>
  </si>
  <si>
    <t>후회의 빛을 보이는(언행이), 뉘우치는</t>
  </si>
  <si>
    <t>steep</t>
  </si>
  <si>
    <t>가파르다</t>
  </si>
  <si>
    <t>the learning curve wasn't too steep</t>
  </si>
  <si>
    <t>배우는데 어렵지 않았어</t>
  </si>
  <si>
    <t>coast</t>
  </si>
  <si>
    <t>해안, 활강하다, 타성에 의해 달리는</t>
  </si>
  <si>
    <t>coasting till the weekend</t>
  </si>
  <si>
    <t>주말까지 쉬엄쉬엄가자</t>
  </si>
  <si>
    <t>let the momentum drag you down</t>
  </si>
  <si>
    <t>흐름에 맡겨봐</t>
  </si>
  <si>
    <t>cold call</t>
  </si>
  <si>
    <t>you are making a phone call without knowing the person</t>
  </si>
  <si>
    <t>there isn't much of a learning curve when it comes to wating table</t>
  </si>
  <si>
    <t>식사시중 드는일에 관해서는 배우는데 오래 걸리지 않는다</t>
  </si>
  <si>
    <t>show someone the ropes</t>
  </si>
  <si>
    <t>요령을 알려주다</t>
  </si>
  <si>
    <t>underwater welding</t>
  </si>
  <si>
    <t>수중용접</t>
  </si>
  <si>
    <t>picky eating</t>
  </si>
  <si>
    <t>편식</t>
  </si>
  <si>
    <t>diverge</t>
  </si>
  <si>
    <t>나뉘다, 분기하다</t>
  </si>
  <si>
    <t xml:space="preserve">rub off on ~ </t>
  </si>
  <si>
    <t>영향을 미치다, influence to change something</t>
  </si>
  <si>
    <t>picky eating may be a genetic trait</t>
  </si>
  <si>
    <t>편식은 유전적 특징일지 몰라</t>
  </si>
  <si>
    <t>the result show that our customers prefer the blue type over the red</t>
  </si>
  <si>
    <t>우리 고객은 빨강보다 파란것을 선호하단고 결과가 보여준다</t>
  </si>
  <si>
    <t>you are the average of the five people you are closest to</t>
  </si>
  <si>
    <t>당신은 가장 가까운 다섯 사람의 평균이다</t>
  </si>
  <si>
    <t>talk back</t>
  </si>
  <si>
    <t>말대답하다</t>
  </si>
  <si>
    <t>adolescence</t>
  </si>
  <si>
    <t>청소년기, 사춘기</t>
  </si>
  <si>
    <t xml:space="preserve">discard </t>
  </si>
  <si>
    <t>버리다</t>
  </si>
  <si>
    <t>recital</t>
  </si>
  <si>
    <t>독주회</t>
  </si>
  <si>
    <t>devout</t>
  </si>
  <si>
    <t>경건한</t>
  </si>
  <si>
    <t>Bach's devout music</t>
  </si>
  <si>
    <t>바하의 경건한 음악</t>
  </si>
  <si>
    <t>familiarity</t>
  </si>
  <si>
    <t>친숙함, 익숙함</t>
  </si>
  <si>
    <t>tim has been talking back to his teachers in school</t>
  </si>
  <si>
    <t>팀이 계속 선생에게 말대답한대</t>
  </si>
  <si>
    <t>I think that new kid in his class is rubbing off on him</t>
  </si>
  <si>
    <t>새로온 애가 우리 애를 물들이는것 같아</t>
  </si>
  <si>
    <t>I decided to curry favor with my boss although I didn't like his opinion</t>
  </si>
  <si>
    <t>보스의견이 안 맞더라고 보스 장단 맞춰주기로 했어</t>
  </si>
  <si>
    <t>tinged with ~</t>
  </si>
  <si>
    <t>~ 기미가 있다, ~ 로 물들이다</t>
  </si>
  <si>
    <t>enthusiastic</t>
  </si>
  <si>
    <t>열정적인</t>
  </si>
  <si>
    <t>moral compass</t>
  </si>
  <si>
    <t>도덕적 잣대</t>
  </si>
  <si>
    <t xml:space="preserve">akin </t>
  </si>
  <si>
    <t>비슷한, ~ 같이</t>
  </si>
  <si>
    <t>fasting</t>
  </si>
  <si>
    <t>금식</t>
  </si>
  <si>
    <t>curry favor with sb</t>
  </si>
  <si>
    <t>장단을 맞추다</t>
  </si>
  <si>
    <t>where feminism has failed to take root</t>
  </si>
  <si>
    <t>페미니즘이 뿌리를 내리지 못한</t>
  </si>
  <si>
    <t>unapologetically</t>
  </si>
  <si>
    <t>사죄하지 않는, 미안해하지 않는</t>
  </si>
  <si>
    <t>inept</t>
  </si>
  <si>
    <t>서투른</t>
  </si>
  <si>
    <t>clumsy</t>
  </si>
  <si>
    <t>어설픈</t>
  </si>
  <si>
    <t>I can take a hint</t>
  </si>
  <si>
    <t>나도 눈치는 있어</t>
  </si>
  <si>
    <t>ostentatious</t>
  </si>
  <si>
    <t>화려한, 과시하는</t>
  </si>
  <si>
    <t>ostentatiousness</t>
  </si>
  <si>
    <t>과시</t>
  </si>
  <si>
    <t>waste</t>
  </si>
  <si>
    <t>낭비</t>
  </si>
  <si>
    <t>I checked another thing off my bucket list</t>
  </si>
  <si>
    <t>내 버킷리스트에서 하나를 지우다</t>
  </si>
  <si>
    <t>grandios</t>
  </si>
  <si>
    <t>웅장한, 당당한</t>
  </si>
  <si>
    <t>demarcation</t>
  </si>
  <si>
    <t>구분, 한계, 경계</t>
  </si>
  <si>
    <t>connote</t>
  </si>
  <si>
    <t>의미하다</t>
  </si>
  <si>
    <t>withstand</t>
  </si>
  <si>
    <t>저항하다, 견디다</t>
  </si>
  <si>
    <t>the economic strain</t>
  </si>
  <si>
    <t>경제적 무리,부담</t>
  </si>
  <si>
    <t>woefully</t>
  </si>
  <si>
    <t>민망하지만</t>
  </si>
  <si>
    <t>push one's button</t>
  </si>
  <si>
    <t>화나게 하다</t>
  </si>
  <si>
    <t>the story pushed the buttons of many people</t>
  </si>
  <si>
    <t>그 이야기는 많은 사람을 화나게 했다</t>
  </si>
  <si>
    <t>Don't push my button</t>
  </si>
  <si>
    <t>나를 화나게 하지마</t>
  </si>
  <si>
    <t>blur</t>
  </si>
  <si>
    <t>흐릿해지다</t>
  </si>
  <si>
    <t>extravagance</t>
  </si>
  <si>
    <t>낭비, 사치</t>
  </si>
  <si>
    <t>accession</t>
  </si>
  <si>
    <t>취임, 취득, 계승</t>
  </si>
  <si>
    <t>nouveau-riche</t>
  </si>
  <si>
    <t>벼락부자</t>
  </si>
  <si>
    <t>bogus</t>
  </si>
  <si>
    <t>가짜의</t>
  </si>
  <si>
    <t>elaborate</t>
  </si>
  <si>
    <t>설명하다, 상세히 말하다</t>
  </si>
  <si>
    <t>sean finally opened up to his mother about what happened</t>
  </si>
  <si>
    <t>sean은 엄마에게 마침내 무슨일이 있었는지 털어놨다</t>
  </si>
  <si>
    <t>the new manager was in our corner when it comes to overtime pay</t>
  </si>
  <si>
    <t>새로운 매니저는 야근 수당관련해서는 우리편이었다.</t>
  </si>
  <si>
    <t>distress</t>
  </si>
  <si>
    <t>고통, 고난</t>
  </si>
  <si>
    <t>distressing</t>
  </si>
  <si>
    <t>비참한</t>
  </si>
  <si>
    <t>radiant</t>
  </si>
  <si>
    <t>빛나는</t>
  </si>
  <si>
    <t>feeble</t>
  </si>
  <si>
    <t>약한</t>
  </si>
  <si>
    <t>nigh</t>
  </si>
  <si>
    <t>near</t>
  </si>
  <si>
    <t>the end of year is nigh</t>
  </si>
  <si>
    <t>올해의 끝도 가까워진다</t>
  </si>
  <si>
    <t>reappraise</t>
  </si>
  <si>
    <t>재평가하다</t>
  </si>
  <si>
    <t>authenticity</t>
  </si>
  <si>
    <t>진실, 진위</t>
  </si>
  <si>
    <t xml:space="preserve">authentic </t>
  </si>
  <si>
    <t>진짜의</t>
  </si>
  <si>
    <t>grovel in submission</t>
  </si>
  <si>
    <t>굴욕적으로 복종</t>
  </si>
  <si>
    <t>I grovel in submission to feed my ambition</t>
  </si>
  <si>
    <t>내 야망을 키우기 위해 굴욕적으로 복종하다</t>
  </si>
  <si>
    <t>submission</t>
  </si>
  <si>
    <t>항복,굴복</t>
  </si>
  <si>
    <t xml:space="preserve">grovel </t>
  </si>
  <si>
    <t>굽실거리다</t>
  </si>
  <si>
    <t>fervently</t>
  </si>
  <si>
    <t>열렬히</t>
  </si>
  <si>
    <t>impersonation</t>
  </si>
  <si>
    <t>흉내</t>
  </si>
  <si>
    <t>insurance premium</t>
  </si>
  <si>
    <t>보험료</t>
  </si>
  <si>
    <t>fly off the handle</t>
  </si>
  <si>
    <t>냉정함을 잃고 화를 내다</t>
  </si>
  <si>
    <t>delusion of grandeur</t>
  </si>
  <si>
    <t>과대망상</t>
  </si>
  <si>
    <t>tandem</t>
  </si>
  <si>
    <t>같이, 동시에</t>
  </si>
  <si>
    <t>in tandem</t>
  </si>
  <si>
    <t>협력하여</t>
  </si>
  <si>
    <t>bliss</t>
  </si>
  <si>
    <t>행복, 환희</t>
  </si>
  <si>
    <t>oblivion</t>
  </si>
  <si>
    <t>망각</t>
  </si>
  <si>
    <t>infringe</t>
  </si>
  <si>
    <t>위반하다, 침해하다</t>
  </si>
  <si>
    <t>rewarding</t>
  </si>
  <si>
    <t>가치있는, 보람있는</t>
  </si>
  <si>
    <t>we went off on(at) a tangent</t>
  </si>
  <si>
    <t>옆길로 새다</t>
  </si>
  <si>
    <t>solicited generosity</t>
  </si>
  <si>
    <t>관대함을 요청</t>
  </si>
  <si>
    <t>grumpy</t>
  </si>
  <si>
    <t>기분이 언잖은, 심술이난</t>
  </si>
  <si>
    <t>go ogg on a tangent</t>
  </si>
  <si>
    <t>be laued as ~</t>
  </si>
  <si>
    <t>~로 칭송받다</t>
  </si>
  <si>
    <t>foes</t>
  </si>
  <si>
    <t>적들</t>
  </si>
  <si>
    <t>scrounger</t>
  </si>
  <si>
    <t>구걸꾼</t>
  </si>
  <si>
    <t xml:space="preserve">solicit </t>
  </si>
  <si>
    <t>요구하다, 부탁하다</t>
  </si>
  <si>
    <t>how much how she is older by how many years than you?</t>
  </si>
  <si>
    <t>그녀는 당신보다 몇 살 더 많습니까?</t>
  </si>
  <si>
    <t>how many years older is she than you?</t>
  </si>
  <si>
    <t>dire straits</t>
  </si>
  <si>
    <t>비참한 곤란</t>
  </si>
  <si>
    <t>patron</t>
  </si>
  <si>
    <t>후원자</t>
  </si>
  <si>
    <t>patronage</t>
  </si>
  <si>
    <t>후원</t>
  </si>
  <si>
    <t>garner</t>
  </si>
  <si>
    <t>모으다</t>
  </si>
  <si>
    <t>thrive</t>
  </si>
  <si>
    <t>번창하다</t>
  </si>
  <si>
    <t>I've been counting the days until I could get my fix of your cooking</t>
  </si>
  <si>
    <t>나는 너의 요리를 먹을 수 있을 때까지 날짜를 세어 왔어</t>
  </si>
  <si>
    <t>cliched</t>
  </si>
  <si>
    <t>상투적인</t>
  </si>
  <si>
    <t>affection</t>
  </si>
  <si>
    <t>애정</t>
  </si>
  <si>
    <t>tribute</t>
  </si>
  <si>
    <t>찬사, 헌정</t>
  </si>
  <si>
    <t>ardent</t>
  </si>
  <si>
    <t>열렬한</t>
  </si>
  <si>
    <t>sought-after</t>
  </si>
  <si>
    <t>많은 사람이 찾음, 지속적으로 요구되는</t>
  </si>
  <si>
    <t>knock-off</t>
  </si>
  <si>
    <t>복제품</t>
  </si>
  <si>
    <t>someone decided to make green curry which is thai food and let's say 
it would cost 15000won at a restarant. 
It ended up costing them to make like twice as much and it tasted half as good</t>
  </si>
  <si>
    <t>누군가가 태국 음식인 그린 카레를 만들기로 했고, 예를 들어
식당에서 15000원이 든다고 합시다.
결국 두 배나 더 많은 비용이 들었고 맛도 반만큼만 나왔어요</t>
  </si>
  <si>
    <t>deceptively</t>
  </si>
  <si>
    <t>믿지못할정도로</t>
  </si>
  <si>
    <t>insidiously</t>
  </si>
  <si>
    <t>방심할수 없게</t>
  </si>
  <si>
    <t>nickel and dime</t>
  </si>
  <si>
    <t>알뜰하게 굴다, 인색한</t>
  </si>
  <si>
    <t>lender</t>
  </si>
  <si>
    <t>은행</t>
  </si>
  <si>
    <t>늪, 침몰시키다</t>
  </si>
  <si>
    <t>backfire</t>
  </si>
  <si>
    <t>역효과</t>
  </si>
  <si>
    <t>mire</t>
  </si>
  <si>
    <t>진흙으로 더럽히다, 진창</t>
  </si>
  <si>
    <t>sow</t>
  </si>
  <si>
    <t>뿌리다</t>
  </si>
  <si>
    <t xml:space="preserve">reckless </t>
  </si>
  <si>
    <t>abusive</t>
  </si>
  <si>
    <t>남용하는, 학대하는</t>
  </si>
  <si>
    <t>sheepish</t>
  </si>
  <si>
    <t>멋쩍은, 소심한</t>
  </si>
  <si>
    <t>frugality</t>
  </si>
  <si>
    <t>절약</t>
  </si>
  <si>
    <t>fall on deaf years</t>
  </si>
  <si>
    <t>무시되다</t>
  </si>
  <si>
    <t>our request fell on deaf years</t>
  </si>
  <si>
    <t>우리요청이 무시되었다</t>
  </si>
  <si>
    <t>soothe</t>
  </si>
  <si>
    <t>달래다</t>
  </si>
  <si>
    <t>let's seize a day</t>
  </si>
  <si>
    <t>오늘을 즐겨라</t>
  </si>
  <si>
    <t>thank you for this gifts, you make my day.</t>
  </si>
  <si>
    <t>선물고마워요. 나의 날로 만들어주네요</t>
  </si>
  <si>
    <t>switch it up</t>
  </si>
  <si>
    <t>do something different, 변화를 주다</t>
  </si>
  <si>
    <t>chessnut</t>
  </si>
  <si>
    <t>밤</t>
  </si>
  <si>
    <t>abdomen</t>
  </si>
  <si>
    <t>복부, 배</t>
  </si>
  <si>
    <t>veil</t>
  </si>
  <si>
    <t>가리다, 장막, 히잡</t>
  </si>
  <si>
    <t>attire</t>
  </si>
  <si>
    <t>복장</t>
  </si>
  <si>
    <t>tantamount</t>
  </si>
  <si>
    <t>~ 와 마찬가치</t>
  </si>
  <si>
    <t>persecution</t>
  </si>
  <si>
    <t>박해, 학대</t>
  </si>
  <si>
    <t>uphold</t>
  </si>
  <si>
    <t>지키다, 확정하다</t>
  </si>
  <si>
    <t>compustion</t>
  </si>
  <si>
    <t>연소</t>
  </si>
  <si>
    <t>friction</t>
  </si>
  <si>
    <t>마찰</t>
  </si>
  <si>
    <t>vroom</t>
  </si>
  <si>
    <t>차가 주행중에 내는 소리 (부응)</t>
  </si>
  <si>
    <t>growl</t>
  </si>
  <si>
    <t>으르렁소리를 내다</t>
  </si>
  <si>
    <t>you know what was a stroke of luck for me. it is meeting you. it has just like a chance encounter</t>
  </si>
  <si>
    <t>내게 있어 뜻밖의 행운이었던 건 바로 너를 만난 거야. 마치 우연한 만남처럼.</t>
  </si>
  <si>
    <t>stroke of luck</t>
  </si>
  <si>
    <t>뜻밖의 행운</t>
  </si>
  <si>
    <t>chance encounter</t>
  </si>
  <si>
    <t>우연한 만남</t>
  </si>
  <si>
    <t>cerebral palsy</t>
  </si>
  <si>
    <t>뇌성마비</t>
  </si>
  <si>
    <t>spasm</t>
  </si>
  <si>
    <t>경련</t>
  </si>
  <si>
    <t>muscle spasm</t>
  </si>
  <si>
    <t>근육경련</t>
  </si>
  <si>
    <t>shut someone out</t>
  </si>
  <si>
    <t>~를 배제하다</t>
  </si>
  <si>
    <t>gravy train</t>
  </si>
  <si>
    <t>수월한 돈벌이, 꿀빨다</t>
  </si>
  <si>
    <t>seaweed soup</t>
  </si>
  <si>
    <t>미역국</t>
  </si>
  <si>
    <t>fermented skate</t>
  </si>
  <si>
    <t>삭힌 홍어</t>
  </si>
  <si>
    <t>deal a blow</t>
  </si>
  <si>
    <t>타격을 주다</t>
  </si>
  <si>
    <t>suffer a blow</t>
  </si>
  <si>
    <t>타격을 받다</t>
  </si>
  <si>
    <t>exhaust fumes</t>
  </si>
  <si>
    <t>배기가스</t>
  </si>
  <si>
    <t>carcinogen</t>
  </si>
  <si>
    <t>발암물질</t>
  </si>
  <si>
    <t>mitigate</t>
  </si>
  <si>
    <t>완화하다, 저감하다</t>
  </si>
  <si>
    <t>adept</t>
  </si>
  <si>
    <t>숙련된</t>
  </si>
  <si>
    <t>complicity</t>
  </si>
  <si>
    <t>공범, 공모</t>
  </si>
  <si>
    <t>dupe</t>
  </si>
  <si>
    <t>속이다, 앞잡이</t>
  </si>
  <si>
    <t>there is no free lunch in your life.</t>
  </si>
  <si>
    <t>공짜는 없다</t>
  </si>
  <si>
    <t>let me buy you a meal. thet haven't called you in 10 years. and you go and have the meal. 
atfer the meal. they try and get you into a pyramid scheme,</t>
  </si>
  <si>
    <t>10년동안 연락없는 놈이 갑자기 밥을 산다고 한다, 밥먹고 나서
피라미드 가입시킬려고 한다</t>
  </si>
  <si>
    <t>spooky</t>
  </si>
  <si>
    <t>유령같은</t>
  </si>
  <si>
    <t xml:space="preserve">a catch </t>
  </si>
  <si>
    <t>전제조건, 속셈</t>
  </si>
  <si>
    <t>when you get a gift from someoen, what is the catch</t>
  </si>
  <si>
    <t>누군가에게 선물을 받을때 속셈이 뭐야..</t>
  </si>
  <si>
    <t>love handle</t>
  </si>
  <si>
    <t>옆구리 군살</t>
  </si>
  <si>
    <t>muffin top</t>
  </si>
  <si>
    <t>뱃살</t>
  </si>
  <si>
    <t>resolution</t>
  </si>
  <si>
    <t>결심, 해결</t>
  </si>
  <si>
    <t>nerve-racking</t>
  </si>
  <si>
    <t>신경질나게 하는</t>
  </si>
  <si>
    <t>Are you one to make a new year's resolution</t>
  </si>
  <si>
    <t>새해결심하는 편인가요?</t>
  </si>
  <si>
    <t>I have butterflies in my stomach</t>
  </si>
  <si>
    <t>나는 긴장하고 있어</t>
  </si>
  <si>
    <t>please don't me shoot me down, everytime I suggest something</t>
  </si>
  <si>
    <t>내가 뭔가를 제안할때 마다 거절하지 말아주세요</t>
  </si>
  <si>
    <t>put one's best foot forward</t>
  </si>
  <si>
    <t>최선의 노력을 하다</t>
  </si>
  <si>
    <t>portion size</t>
  </si>
  <si>
    <t>1인분</t>
  </si>
  <si>
    <t>portion sizes are getting smaller in US</t>
  </si>
  <si>
    <t>미국에서 1인분의 양이 작아지고 있다</t>
  </si>
  <si>
    <t>trench</t>
  </si>
  <si>
    <t>참호</t>
  </si>
  <si>
    <t>dreaded</t>
  </si>
  <si>
    <t>두려운, 무서운</t>
  </si>
  <si>
    <t>culprit</t>
  </si>
  <si>
    <t>범인, 장본인, 주범</t>
  </si>
  <si>
    <t>I feel a cold coming on</t>
  </si>
  <si>
    <t>나 감기에 걸린거 같아</t>
  </si>
  <si>
    <t>sane or insane</t>
  </si>
  <si>
    <t>정상/미친거</t>
  </si>
  <si>
    <t>overtake</t>
  </si>
  <si>
    <t>불시에 닥치다, 앞지르다</t>
  </si>
  <si>
    <t>barrack</t>
  </si>
  <si>
    <t>막사</t>
  </si>
  <si>
    <t>litigation</t>
  </si>
  <si>
    <t>소송</t>
  </si>
  <si>
    <t>whooping cough</t>
  </si>
  <si>
    <t>백일해</t>
  </si>
  <si>
    <t>assure</t>
  </si>
  <si>
    <t>안심시키다, 장담하다</t>
  </si>
  <si>
    <t>합병증, 상황을 더 복잡하게 만드는 문제</t>
  </si>
  <si>
    <t xml:space="preserve">thud </t>
  </si>
  <si>
    <t>쿵하고 떨어지다</t>
  </si>
  <si>
    <t>thudding sound</t>
  </si>
  <si>
    <t>쿵소리</t>
  </si>
  <si>
    <t>schizophrenia</t>
  </si>
  <si>
    <t>정신분열증, 조현증</t>
  </si>
  <si>
    <t>bipolar disorder</t>
  </si>
  <si>
    <t>조울증</t>
  </si>
  <si>
    <t>hepatitis</t>
  </si>
  <si>
    <t>간염</t>
  </si>
  <si>
    <t>impair</t>
  </si>
  <si>
    <t>손상시키다. 해치다</t>
  </si>
  <si>
    <t>dissertation</t>
  </si>
  <si>
    <t>논문</t>
  </si>
  <si>
    <t>there are a lot of things you have to do for a dog. 
you have to walk them, feed them and they have to poop</t>
  </si>
  <si>
    <t>강아지를 위해 많은 일을 해야 한다. 산책시키고, 먹이고, 응아 하게 하고</t>
  </si>
  <si>
    <t>utter</t>
  </si>
  <si>
    <t>말하다, 완전한</t>
  </si>
  <si>
    <t>고통, 곤란</t>
  </si>
  <si>
    <t>pigment</t>
  </si>
  <si>
    <t>색소</t>
  </si>
  <si>
    <t>contract</t>
  </si>
  <si>
    <t>병에 걸리다, 계약</t>
  </si>
  <si>
    <t>outshine</t>
  </si>
  <si>
    <t>더 뛰어나다</t>
  </si>
  <si>
    <t>reconnaissance</t>
  </si>
  <si>
    <t>정찰</t>
  </si>
  <si>
    <t>speed can accelerate growth while growth presses on for more speed</t>
  </si>
  <si>
    <t>속도는 성장을 가속하고 성장은 좀 더 빠른 속도를 요구한다</t>
  </si>
  <si>
    <t>mother nature and her resources are falling victim 
to the human thirst for greater speed</t>
  </si>
  <si>
    <t>지구의 자연과 자원은 좀 더 빠른 속도로 인간의 욕망에 희생되고 있다</t>
  </si>
  <si>
    <t>substantiate</t>
  </si>
  <si>
    <t>입증하다</t>
  </si>
  <si>
    <t>attain</t>
  </si>
  <si>
    <t>흭득하다</t>
  </si>
  <si>
    <t>intact</t>
  </si>
  <si>
    <t>온전한, 전혀 손상되지 않은</t>
  </si>
  <si>
    <t xml:space="preserve">infinitesimal </t>
  </si>
  <si>
    <t>극미한, 극소수의</t>
  </si>
  <si>
    <t>minute</t>
  </si>
  <si>
    <t>미세한</t>
  </si>
  <si>
    <t xml:space="preserve">contend with ~ </t>
  </si>
  <si>
    <t>~ 와 씨름하다, 다투다</t>
  </si>
  <si>
    <t>if a dog get sick, you have to take them to the veterinarian</t>
  </si>
  <si>
    <t>강아지가 아프면 수의사에게 데려가라</t>
  </si>
  <si>
    <t>when they are older, anesthesia is very dangerous</t>
  </si>
  <si>
    <t>강아지가 나이가 많으면 마취는 위험하다</t>
  </si>
  <si>
    <t>assessment</t>
  </si>
  <si>
    <t>평가</t>
  </si>
  <si>
    <t>hazardous</t>
  </si>
  <si>
    <t>위험한</t>
  </si>
  <si>
    <t>on the sly</t>
  </si>
  <si>
    <t>은밀히</t>
  </si>
  <si>
    <t>fallacious</t>
  </si>
  <si>
    <t>틀린</t>
  </si>
  <si>
    <t>crude</t>
  </si>
  <si>
    <t>대강의, 대충만든, 원유</t>
  </si>
  <si>
    <t>thermometer</t>
  </si>
  <si>
    <t>온도계, 체온계</t>
  </si>
  <si>
    <t>set off</t>
  </si>
  <si>
    <t>유발하다</t>
  </si>
  <si>
    <t>the flap of a butterfly's wing in Brazil can set off a tornado in Texas</t>
  </si>
  <si>
    <t>브라질의 나비 날개짓이 텍사스의 태풍을 만들수 있다</t>
  </si>
  <si>
    <t>prodigious</t>
  </si>
  <si>
    <t>엄청난</t>
  </si>
  <si>
    <t>coin</t>
  </si>
  <si>
    <t>신조어를 만들다</t>
  </si>
  <si>
    <t>정교하다</t>
  </si>
  <si>
    <t>augmentation</t>
  </si>
  <si>
    <t>증가, 증대</t>
  </si>
  <si>
    <t>overly</t>
  </si>
  <si>
    <t>너무, 몹시</t>
  </si>
  <si>
    <t>I get lightheaded when I stand up too quickly</t>
  </si>
  <si>
    <t>내가 갑자기 일어날때 머리가 빙돈다</t>
  </si>
  <si>
    <t>Mia thinks this is a very big deal since their mother is eldery and lives on her own</t>
  </si>
  <si>
    <t>Mia는 이것이 매우 중요한 일이라고 생각한다. 왜냐하면 그들의 어머니가 연로하시고 혼자 살고 있기 때문이다</t>
  </si>
  <si>
    <t>meticulous</t>
  </si>
  <si>
    <t>꼼꼼한, 정교한</t>
  </si>
  <si>
    <t>sway</t>
  </si>
  <si>
    <t>흔들리다</t>
  </si>
  <si>
    <t>wrangle</t>
  </si>
  <si>
    <t>언쟁, 언쟁을 벌이다</t>
  </si>
  <si>
    <t xml:space="preserve">succumb to ~ </t>
  </si>
  <si>
    <t>~ 에 굴복하다</t>
  </si>
  <si>
    <t>She succumbed to temptation and ate the whole cake.</t>
  </si>
  <si>
    <t>그녀는 유혹을 이기지 못하고 케이크를 다 먹어버렸다</t>
  </si>
  <si>
    <t>sweep up</t>
  </si>
  <si>
    <t>들어올리다, 쓸어모으다</t>
  </si>
  <si>
    <t xml:space="preserve">fallout </t>
  </si>
  <si>
    <t>낙진</t>
  </si>
  <si>
    <t>gum</t>
  </si>
  <si>
    <t>잇몸</t>
  </si>
  <si>
    <t>farcical</t>
  </si>
  <si>
    <t>웃음거리가 된</t>
  </si>
  <si>
    <t>make a fuss</t>
  </si>
  <si>
    <t>크게 떠들어대다, 소란피우다</t>
  </si>
  <si>
    <t>gabber</t>
  </si>
  <si>
    <t>수다쟁이</t>
  </si>
  <si>
    <t>pinky(little) finger</t>
  </si>
  <si>
    <t>새끼손가락</t>
  </si>
  <si>
    <t>Thumb</t>
  </si>
  <si>
    <t>엄지손가락</t>
  </si>
  <si>
    <t xml:space="preserve">Index finger (또는 Pointer finger) </t>
  </si>
  <si>
    <t>집게손가락(검지)</t>
  </si>
  <si>
    <t xml:space="preserve">Middle finger </t>
  </si>
  <si>
    <t>가운데손가락 (중지)</t>
  </si>
  <si>
    <t>Ring finger</t>
  </si>
  <si>
    <t>약지</t>
  </si>
  <si>
    <t>draw on</t>
  </si>
  <si>
    <t>이용하다</t>
  </si>
  <si>
    <t>She drew on her experience to solve the problem.</t>
  </si>
  <si>
    <t>그녀는 문제를 해결하기 위해 자신의 경험을 활용했다</t>
  </si>
  <si>
    <t>I am in such a hurry, I am in a hurry</t>
  </si>
  <si>
    <t>나는 정말 급하다</t>
  </si>
  <si>
    <t>you should go with your gut</t>
  </si>
  <si>
    <t>직감을 따라가</t>
  </si>
  <si>
    <t>obsolete</t>
  </si>
  <si>
    <t>더 이상 쓸모가 없는, 한물간</t>
  </si>
  <si>
    <t>ring off the hook</t>
  </si>
  <si>
    <t>연속적으로 쉴새없이 울리다</t>
  </si>
  <si>
    <t>When the storm hit, the emergency hotline was ringing off the hook.</t>
  </si>
  <si>
    <t>→ 폭풍이 닥치자 비상 전화가 계속 울렸다</t>
  </si>
  <si>
    <t>barron</t>
  </si>
  <si>
    <t>남작</t>
  </si>
  <si>
    <t>pepper</t>
  </si>
  <si>
    <t>뿌려대다, 퍼붓다, 후추</t>
  </si>
  <si>
    <t>audacious</t>
  </si>
  <si>
    <t>대담한</t>
  </si>
  <si>
    <t>sponge</t>
  </si>
  <si>
    <t>뜯어먹다, 빌붙다, 스폰지</t>
  </si>
  <si>
    <t xml:space="preserve">He spent his life sponging off his relatives. </t>
  </si>
  <si>
    <t>그는 친척들에게 빌붙어서 평생을 보냈다</t>
  </si>
  <si>
    <t>if you are not sure which one to choose, go with your gut</t>
  </si>
  <si>
    <t>무엇을 선택할지 확실치 않으면 직감대로 해</t>
  </si>
  <si>
    <t>this is what makes life sometimes aggravating but also fun and beautifl
that you get to have all of these uncertainties,</t>
  </si>
  <si>
    <t>이것이 때때로 삶을 짜증 나게도 하지만, 동시에 즐겁고 아름답게 만드는 이유다.
바로 이런 불확실함을 경험할 수 있다는 점에서 말이다</t>
  </si>
  <si>
    <t>nibble away</t>
  </si>
  <si>
    <t>조금씩 야금 야금 먹다</t>
  </si>
  <si>
    <t>compromise</t>
  </si>
  <si>
    <t>위태롭게 하다, 타협</t>
  </si>
  <si>
    <t>impede</t>
  </si>
  <si>
    <t>지연시키다</t>
  </si>
  <si>
    <t>은둔의</t>
  </si>
  <si>
    <t>contemporary</t>
  </si>
  <si>
    <t>동시대 사람, 동시대의</t>
  </si>
  <si>
    <t>where are you running off to?</t>
  </si>
  <si>
    <t>어디로 도망가</t>
  </si>
  <si>
    <t>that sounds like a recipe for disaster</t>
  </si>
  <si>
    <t>망하는 비법 같은데</t>
  </si>
  <si>
    <t>no pun intended</t>
  </si>
  <si>
    <t>말장난 하려는거 아니고</t>
  </si>
  <si>
    <t>preoccupation</t>
  </si>
  <si>
    <t>몰두, 집착</t>
  </si>
  <si>
    <t>posthumously</t>
  </si>
  <si>
    <t>사후에</t>
  </si>
  <si>
    <t>heredity</t>
  </si>
  <si>
    <t>유전(적 특징)</t>
  </si>
  <si>
    <t>forge</t>
  </si>
  <si>
    <t>위조하다</t>
  </si>
  <si>
    <t>incident</t>
  </si>
  <si>
    <t>사건, 사고</t>
  </si>
  <si>
    <t>smother</t>
  </si>
  <si>
    <t>질식하게 하다, 숨막히게 하다</t>
  </si>
  <si>
    <t>Take it easy on salt</t>
  </si>
  <si>
    <t>Don't put too much salt</t>
  </si>
  <si>
    <t>take it easy on ice ( = easy ice )</t>
  </si>
  <si>
    <t>Don't put too much ice</t>
  </si>
  <si>
    <t>catapult</t>
  </si>
  <si>
    <t>(투석기로) 내던지다</t>
  </si>
  <si>
    <t>germ-laden</t>
  </si>
  <si>
    <t>셰균이 잔뜩 묻은, 실은</t>
  </si>
  <si>
    <t>abide by</t>
  </si>
  <si>
    <t>준수하다, 지키다</t>
  </si>
  <si>
    <t>commoner</t>
  </si>
  <si>
    <t>평민, 서민</t>
  </si>
  <si>
    <t>induldence</t>
  </si>
  <si>
    <t>탐닉, 제멋대로함, 면죄부(관용)</t>
  </si>
  <si>
    <t>the agent worked for hours on end to decode the message</t>
  </si>
  <si>
    <t>그 요원은 메시지를 해독하기 위해 몇 시간 동안 쉬지 않고 일했다</t>
  </si>
  <si>
    <t>I spent hours on end scouring internet for good deals.</t>
  </si>
  <si>
    <t>나는 좋은 할인 상품을 찾기 위해 몇 시간 동안 인터넷을 샅샅이 뒤졌다.</t>
  </si>
  <si>
    <t>ostensibly</t>
  </si>
  <si>
    <t>외면상, 표면상</t>
  </si>
  <si>
    <t>exacerbate</t>
  </si>
  <si>
    <t>악화하다, 악화시키다</t>
  </si>
  <si>
    <t>meager</t>
  </si>
  <si>
    <t>빈약한, 메마른</t>
  </si>
  <si>
    <t>repent</t>
  </si>
  <si>
    <t>후회하다, 뉘우치다</t>
  </si>
  <si>
    <t>pulverization</t>
  </si>
  <si>
    <t>분쇄, 가루로 만들다</t>
  </si>
  <si>
    <t>sanitation</t>
  </si>
  <si>
    <t>위생</t>
  </si>
  <si>
    <t>due consideration</t>
  </si>
  <si>
    <t>충분한 고려</t>
  </si>
  <si>
    <t>delicacy</t>
  </si>
  <si>
    <t>미묘함, 별미</t>
  </si>
  <si>
    <t>autonomy</t>
  </si>
  <si>
    <t>자율</t>
  </si>
  <si>
    <t>elope</t>
  </si>
  <si>
    <t>눈이 맞아 몰래 도망치다. ( run off to. get married )</t>
  </si>
  <si>
    <t>adolescent</t>
  </si>
  <si>
    <t>청소년</t>
  </si>
  <si>
    <t>accomplice</t>
  </si>
  <si>
    <t>공범</t>
  </si>
  <si>
    <t>I don't want to lead them in the wrong way</t>
  </si>
  <si>
    <t>잘못된길로 가게 하고 싶지 않아</t>
  </si>
  <si>
    <t>I don't want to give them false hope</t>
  </si>
  <si>
    <t>나는 그들에게 잘못된 희망을 주고 싶지 않다</t>
  </si>
  <si>
    <t>I don't mean to sound like a broken record.</t>
  </si>
  <si>
    <t>나는 반복해서 같은 말을 하고 싶은 의도는 아니지만</t>
  </si>
  <si>
    <t>she sounds like broken record nagging me about my homework</t>
  </si>
  <si>
    <t>그녀는 반복해서 숙제 잔소리로 나를 괴롭혀</t>
  </si>
  <si>
    <t>conviction</t>
  </si>
  <si>
    <t>유죄</t>
  </si>
  <si>
    <t>prosecution</t>
  </si>
  <si>
    <t>기소</t>
  </si>
  <si>
    <t>expulsion</t>
  </si>
  <si>
    <t>퇴학</t>
  </si>
  <si>
    <t>run aground</t>
  </si>
  <si>
    <t>배가 죄초되다</t>
  </si>
  <si>
    <t>sustainable</t>
  </si>
  <si>
    <t>지속가능한</t>
  </si>
  <si>
    <t>deplete</t>
  </si>
  <si>
    <t>감소시키다</t>
  </si>
  <si>
    <t>don't take your health for granted. things will change as you get older.</t>
  </si>
  <si>
    <t>건강을 당연하게 여기지 마세요. 나이가 들면 상황이 달라질 것입니다</t>
  </si>
  <si>
    <t>don't take clean water for granted.</t>
  </si>
  <si>
    <t>깨끗한물을 당연하게 생각하지 마세요</t>
  </si>
  <si>
    <t>we take out ability to balance for granted.</t>
  </si>
  <si>
    <t>우리는 균형을 잡는 능력을 당연하게 여긴다</t>
  </si>
  <si>
    <t>excavation</t>
  </si>
  <si>
    <t>발굴</t>
  </si>
  <si>
    <t>clinical trials</t>
  </si>
  <si>
    <t>임상 실험</t>
  </si>
  <si>
    <t>antidepressant</t>
  </si>
  <si>
    <t>항우울제</t>
  </si>
  <si>
    <t>lull</t>
  </si>
  <si>
    <t>달래다, 안심시키다</t>
  </si>
  <si>
    <t>contentment</t>
  </si>
  <si>
    <t>만족</t>
  </si>
  <si>
    <t>trickle down effet</t>
  </si>
  <si>
    <t>낙수 효과</t>
  </si>
  <si>
    <t>it is just hard not to do. My phone is charging right beside me.
It is so easy to pick up</t>
  </si>
  <si>
    <t>안하기는 정말 어려워. 폰이 바로 옆에 충전하고 있어서, 들기 너무 쉬워</t>
  </si>
  <si>
    <t>flaunt</t>
  </si>
  <si>
    <t>과시하다</t>
  </si>
  <si>
    <t>underwrite</t>
  </si>
  <si>
    <t>동의하다(비용부담에)</t>
  </si>
  <si>
    <t>binge</t>
  </si>
  <si>
    <t>쇼핑을 마구하는것</t>
  </si>
  <si>
    <t>binge watch</t>
  </si>
  <si>
    <t>몰아보다</t>
  </si>
  <si>
    <t>reminiscent</t>
  </si>
  <si>
    <t>연상시키는</t>
  </si>
  <si>
    <t>rebuttal</t>
  </si>
  <si>
    <t>반박, 반증</t>
  </si>
  <si>
    <t>pay attention to your posture</t>
  </si>
  <si>
    <t>자세에 신경써라</t>
  </si>
  <si>
    <t>not everybody votes out of responsibility</t>
  </si>
  <si>
    <t>모든 사림이 책임감만으로 투표하지 않는다</t>
  </si>
  <si>
    <t>crumbling</t>
  </si>
  <si>
    <t>무너져내리는</t>
  </si>
  <si>
    <t>해치다, 약화시키다</t>
  </si>
  <si>
    <t>trample</t>
  </si>
  <si>
    <t>짓밟다</t>
  </si>
  <si>
    <t>aggravate</t>
  </si>
  <si>
    <t>악화시키다</t>
  </si>
  <si>
    <t>hefty</t>
  </si>
  <si>
    <t>무거운, 많은</t>
  </si>
  <si>
    <t>hefty increase in salary</t>
  </si>
  <si>
    <t>두둑한 봉급의 인상</t>
  </si>
  <si>
    <t>hefty price</t>
  </si>
  <si>
    <t>비싼가격</t>
  </si>
  <si>
    <t>scour</t>
  </si>
  <si>
    <t>샅샅이 뒤지다</t>
  </si>
  <si>
    <t>수다떨다</t>
  </si>
  <si>
    <t>most people have their face in their phone.</t>
  </si>
  <si>
    <t>대부분의 사람들이 폰에 얼굴을 묻고 있다</t>
  </si>
  <si>
    <t>She has her face in her book</t>
  </si>
  <si>
    <t>그녀가 책에 파묻혀 보고 있다</t>
  </si>
  <si>
    <t>he has a wealth of knowledge about the IT</t>
  </si>
  <si>
    <t>그는 IT에 관한 풍부한 지식을 가지고 있다</t>
  </si>
  <si>
    <t>a wealth of knowledge(information, idea) about the city</t>
  </si>
  <si>
    <t>도시에 대한 풍부한 정보, 아이디어등</t>
  </si>
  <si>
    <t>nose bleed</t>
  </si>
  <si>
    <t>코피</t>
  </si>
  <si>
    <t>nose bleed section</t>
  </si>
  <si>
    <t>가장 높은곳의 좌석</t>
  </si>
  <si>
    <t>We got tickets in the nosebleed section, but at least we’re in the stadium!</t>
  </si>
  <si>
    <t>우리 좌석이 제일 높은 곳이지만, 그래도 경기장 안에 있잖아!</t>
  </si>
  <si>
    <t>out of blue</t>
  </si>
  <si>
    <t>갑자기, unexpectedly</t>
  </si>
  <si>
    <t>She called me out of the blue after years of not speaking.</t>
  </si>
  <si>
    <t>몇 년 동안 연락이 없던 그녀가 갑자기 나에게 전화했다</t>
  </si>
  <si>
    <t>information asymmetry</t>
  </si>
  <si>
    <t>정보 비대칭성</t>
  </si>
  <si>
    <t>scribbling</t>
  </si>
  <si>
    <t>낙서</t>
  </si>
  <si>
    <t>loophole</t>
  </si>
  <si>
    <t>구멍</t>
  </si>
  <si>
    <t>roundabout</t>
  </si>
  <si>
    <t>돌아서 가는길( 로터리, 메리고라운드 )</t>
  </si>
  <si>
    <t>for the taking</t>
  </si>
  <si>
    <t>얻을수 있는. 가질수 있는, 원한다면 무료로</t>
  </si>
  <si>
    <t>It is here for the taking</t>
  </si>
  <si>
    <t>원하면 가져가세요</t>
  </si>
  <si>
    <t>It is yours for the taking</t>
  </si>
  <si>
    <t>너가 원하면 가져가</t>
  </si>
  <si>
    <t>I am yours for the taking</t>
  </si>
  <si>
    <t>if you want me to date , just ask me</t>
  </si>
  <si>
    <t>Success(future) is here for the taking</t>
  </si>
  <si>
    <t>성공(미래)는 누구나 잡을수 있다</t>
  </si>
  <si>
    <t>cockroach dropping</t>
  </si>
  <si>
    <t>바퀴배설물</t>
  </si>
  <si>
    <t>rashes</t>
  </si>
  <si>
    <t>발진</t>
  </si>
  <si>
    <t>pneumonia</t>
  </si>
  <si>
    <t>폐렴</t>
  </si>
  <si>
    <t>chartered</t>
  </si>
  <si>
    <t>공인된, 전세된</t>
  </si>
  <si>
    <t>chartered bus</t>
  </si>
  <si>
    <t>전세 버스</t>
  </si>
  <si>
    <t>longevity pay</t>
  </si>
  <si>
    <t>근속 수당</t>
  </si>
  <si>
    <t>exude</t>
  </si>
  <si>
    <t>스며나오다, 발산시키다</t>
  </si>
  <si>
    <t>I gravitate toward SF movies</t>
  </si>
  <si>
    <t>나는 자연스럽게 SF 영화에 끌린다</t>
  </si>
  <si>
    <t>I gravitate toward savory food</t>
  </si>
  <si>
    <t>나는 짭짤한(감칠맛 나는) 음식을 더 좋아하는 편이다</t>
  </si>
  <si>
    <t>I gravitate toward spicy food rather than sweet desserts.</t>
  </si>
  <si>
    <t>나는 단 디저트보다 매운 음식을 더 좋아한다</t>
  </si>
  <si>
    <t>Do you set goals? yes but I don't follow them but I do like to make a goal
and then ignore it. I guess that is the half the battle they say</t>
  </si>
  <si>
    <t>너 목표를 세우니? 응, 하지만 지키지는 않아. 그래도 목표를 세우고 나서 무시하는 건 좋아해.
사람들이 그러잖아, 그게 반은 성공한 거라고</t>
  </si>
  <si>
    <t>lampoon</t>
  </si>
  <si>
    <t>풍자하다</t>
  </si>
  <si>
    <t>ruinous</t>
  </si>
  <si>
    <t>감당할수 없는</t>
  </si>
  <si>
    <t>wage</t>
  </si>
  <si>
    <t>전쟁을 벌이다</t>
  </si>
  <si>
    <t>latent</t>
  </si>
  <si>
    <t>잠재하는</t>
  </si>
  <si>
    <t>anaemic</t>
  </si>
  <si>
    <t>무기력한, 빈혈의</t>
  </si>
  <si>
    <t>speculative demand</t>
  </si>
  <si>
    <t>투기적 수용, 가수요</t>
  </si>
  <si>
    <t>speculate</t>
  </si>
  <si>
    <t>투기하다, 추측하다</t>
  </si>
  <si>
    <t>neglected class</t>
  </si>
  <si>
    <t>소외계층</t>
  </si>
  <si>
    <t>when picking a watermellon, thump the side and listen for a hollow sound.</t>
  </si>
  <si>
    <t>수박을 고를때 옆을 두드려 속이 텅빈소리가 나는지 들어보세요</t>
  </si>
  <si>
    <t>burgen</t>
  </si>
  <si>
    <t>급성장하다</t>
  </si>
  <si>
    <t>act of cornering and hoarding</t>
  </si>
  <si>
    <t>매점 매석 행위</t>
  </si>
  <si>
    <t>ensue</t>
  </si>
  <si>
    <t>뒤따르다</t>
  </si>
  <si>
    <t>shrivel</t>
  </si>
  <si>
    <t>위축되다</t>
  </si>
  <si>
    <t>feckless</t>
  </si>
  <si>
    <t>무기력한, 나약한</t>
  </si>
  <si>
    <t>premeditation</t>
  </si>
  <si>
    <t>미리 생각, 계획하기</t>
  </si>
  <si>
    <t>I tamped down my disappointment about not getting promoted before I went home</t>
  </si>
  <si>
    <t>나는 승진하지 못한 것에 대한 실망감을 누르고 집에 갔다</t>
  </si>
  <si>
    <t>tamp down</t>
  </si>
  <si>
    <t>(감정 등을) 억누르다, 진정시키다</t>
  </si>
  <si>
    <t>daunting</t>
  </si>
  <si>
    <t>벅찬</t>
  </si>
  <si>
    <t>intimidate</t>
  </si>
  <si>
    <t>겁주다, 협박하다</t>
  </si>
  <si>
    <t>proponent</t>
  </si>
  <si>
    <t>제안자, 지지자</t>
  </si>
  <si>
    <t>turnout rate</t>
  </si>
  <si>
    <t>투표율</t>
  </si>
  <si>
    <t>abstain</t>
  </si>
  <si>
    <t>기권하다, 자제하다</t>
  </si>
  <si>
    <t>abstention</t>
  </si>
  <si>
    <t>기권, 자제</t>
  </si>
  <si>
    <t>nocturnal</t>
  </si>
  <si>
    <t>야행성</t>
  </si>
  <si>
    <t>accure</t>
  </si>
  <si>
    <t>누적되다, 축적되다</t>
  </si>
  <si>
    <t>Interest will accrue on the savings account.</t>
  </si>
  <si>
    <t>저축 계좌에 이자가 쌓일 것이다.</t>
  </si>
  <si>
    <t>hail a cab/taxi</t>
  </si>
  <si>
    <t>veg out</t>
  </si>
  <si>
    <t>느긋하게 쉬다. you just lay there and do pretty much nothing</t>
  </si>
  <si>
    <t>회개하다</t>
  </si>
  <si>
    <t>usury</t>
  </si>
  <si>
    <t>고리 대금</t>
  </si>
  <si>
    <t>remit</t>
  </si>
  <si>
    <t>송금하다</t>
  </si>
  <si>
    <t>indignation</t>
  </si>
  <si>
    <t>분노</t>
  </si>
  <si>
    <t>principal</t>
  </si>
  <si>
    <t>원금, 교장</t>
  </si>
  <si>
    <t>taint</t>
  </si>
  <si>
    <t>더럽히다</t>
  </si>
  <si>
    <t>가라앉다</t>
  </si>
  <si>
    <t>hypnotic</t>
  </si>
  <si>
    <t>최면의</t>
  </si>
  <si>
    <t>justification</t>
  </si>
  <si>
    <t>정당화</t>
  </si>
  <si>
    <t xml:space="preserve">on the contrary </t>
  </si>
  <si>
    <t>그 반대야</t>
  </si>
  <si>
    <t>that knife must have been sharp. on the contrary, it was really dull</t>
  </si>
  <si>
    <t>그 칼은 날카로울거 같애.. 그 반대로 무뎌</t>
  </si>
  <si>
    <t>hands-on</t>
  </si>
  <si>
    <t>직접해보는, 실습</t>
  </si>
  <si>
    <t>cut-price apple</t>
  </si>
  <si>
    <t>저렴이 애플, 할인된 사과</t>
  </si>
  <si>
    <t>it sounds like you know your way around kitchen</t>
  </si>
  <si>
    <t>당신은 부엌에서 능숙하게 요리할 줄 아는 것 같네요</t>
  </si>
  <si>
    <t>it sounds like you know your way around camera</t>
  </si>
  <si>
    <t>당신은 카메라를 잘 다룰 줄 아는 것 같네요</t>
  </si>
  <si>
    <t>not to sound competitive, but I might be able to run circles around you when it comes to cooking now</t>
  </si>
  <si>
    <t>경쟁적으로 들리지는 않길 바라지만, 이제 요리에 관한 한 내가 너보다 훨씬 잘할 수도 있어</t>
  </si>
  <si>
    <t>aspire</t>
  </si>
  <si>
    <t>열망하다</t>
  </si>
  <si>
    <t>utensil</t>
  </si>
  <si>
    <t>도구, 그릇 (배달할때 utensil 주시마세요 함)</t>
  </si>
  <si>
    <t xml:space="preserve">Can you include some utensils with my order? </t>
  </si>
  <si>
    <t>제 주문에 식기(숟가락, 포크 등)를 포함해 주실 수 있나요?</t>
  </si>
  <si>
    <t>No utensils needed, thank you.</t>
  </si>
  <si>
    <t>식기는 필요 없습니다, 감사합니다.</t>
  </si>
  <si>
    <t>Please add extra utensils for two people</t>
  </si>
  <si>
    <t>식기를 두 명분 추가해 주세요</t>
  </si>
  <si>
    <t xml:space="preserve">opt for </t>
  </si>
  <si>
    <t>~을 선택하다</t>
  </si>
  <si>
    <t>We opted for takeout instead of dining in</t>
  </si>
  <si>
    <t>우리는 매장에서 먹는 대신 테이크아웃을 선택했다</t>
  </si>
  <si>
    <t>seep</t>
  </si>
  <si>
    <t>스며들다</t>
  </si>
  <si>
    <t>fork over</t>
  </si>
  <si>
    <t>지불하다</t>
  </si>
  <si>
    <t>siphon</t>
  </si>
  <si>
    <t>돈을)빼돌리다</t>
  </si>
  <si>
    <t>outlaw</t>
  </si>
  <si>
    <t>무법자</t>
  </si>
  <si>
    <t>forklore</t>
  </si>
  <si>
    <t>민속, 민담</t>
  </si>
  <si>
    <t>spoil</t>
  </si>
  <si>
    <t>전리품</t>
  </si>
  <si>
    <t>well-heeled</t>
  </si>
  <si>
    <t>부유한</t>
  </si>
  <si>
    <t>controlled substance</t>
  </si>
  <si>
    <t>마약류</t>
  </si>
  <si>
    <t>2025. it is the year of the blue snake. isn't it? because there 12 animals and there are five elements 
which are wood, fire, soil, metal(gold), water. I think the five elements are connected colors</t>
  </si>
  <si>
    <t>2025년은 파란뱀의 해야. 12개의 동물과 5개의 요소가 있어. 그중에 5개의 요소가
색과 관련되어 있어</t>
  </si>
  <si>
    <t>meticulously</t>
  </si>
  <si>
    <t>꼼꼼하게</t>
  </si>
  <si>
    <t>impaired driving</t>
  </si>
  <si>
    <t>음주운전</t>
  </si>
  <si>
    <t>tramp</t>
  </si>
  <si>
    <t>부랑자</t>
  </si>
  <si>
    <t>unsolicited</t>
  </si>
  <si>
    <t>청하지 않은</t>
  </si>
  <si>
    <t>intricate</t>
  </si>
  <si>
    <t>복잡한</t>
  </si>
  <si>
    <t>전환점( 배우의 오디션등)</t>
  </si>
  <si>
    <t>I wanted to bounce an idea off you before meeting</t>
  </si>
  <si>
    <t>회의전에 아이디어를 나누고 싶었다</t>
  </si>
  <si>
    <t>from what I've heard, you know the ins and outs of your industry better than anyone</t>
  </si>
  <si>
    <t>들어보니 당신이 업계 사정을 누구보다 잘 안다</t>
  </si>
  <si>
    <t>a roll of the dice</t>
  </si>
  <si>
    <t>복불복, 도박 같은일</t>
  </si>
  <si>
    <t>Switching careers at your age is really just a roll of the dice</t>
  </si>
  <si>
    <t>네 나이에 직업을 바꾸는것은 도박같은 거야</t>
  </si>
  <si>
    <t>come in handy</t>
  </si>
  <si>
    <t>쓸모있다</t>
  </si>
  <si>
    <t>Having a powerful friend like you could come in handy</t>
  </si>
  <si>
    <t>너같이 힘있는 친구가 있는것은 쓸모가 있다</t>
  </si>
  <si>
    <t>Our trip is coming to an end</t>
  </si>
  <si>
    <t>우리 여행이 끝나간다</t>
  </si>
  <si>
    <t>Video games can be a distraction from daily life, provide stress relief and promote a sense of 
accomplishment</t>
  </si>
  <si>
    <t>비디오 게임은 우리의 일상에 휴식이 되고 스트레스도 풀어주고
성취감도 준다</t>
  </si>
  <si>
    <t>Can I pet your dog?</t>
  </si>
  <si>
    <t>강아지 만져도 되나요?</t>
  </si>
  <si>
    <t>Please don't mess with the black one. 
He doesn't like strangers.</t>
  </si>
  <si>
    <t>까만개는 만지지 마요. 개는 이방인을 싫어해요</t>
  </si>
  <si>
    <t>off the beaten path</t>
  </si>
  <si>
    <t>인적이 드문곳에, 사람이 잘 안가는</t>
  </si>
  <si>
    <t>he rented house off the beaten path, so he could write his book in peace</t>
  </si>
  <si>
    <t>인적이 드문곳에 집을 얻어서 그는 평화로이 책을 쓸수 있다</t>
  </si>
  <si>
    <t>it is off the beaten path, so we wlll probably be the only ones there</t>
  </si>
  <si>
    <t>인적이 드문곳이라 거기는 우리 밖에 없을거야</t>
  </si>
  <si>
    <t>stumble on(upon)</t>
  </si>
  <si>
    <t>우연히 만나다, 발견하다</t>
  </si>
  <si>
    <t>Look who I stumbled upon during my jog</t>
  </si>
  <si>
    <t>내가 조깅할때 누구를 만났는지 알아</t>
  </si>
  <si>
    <t>I stumbled upon a used book store yesterday and I stayed fot three hours</t>
  </si>
  <si>
    <t>어제 우연히 중고책방이 있어서 3시간동안 구경했어</t>
  </si>
  <si>
    <t>you know we have valentines day in Feb. but it has been so long I've done anything with valentines day
and I am single, so I just buy myself chocolate. why?
Everyone else is having fun. I want to have fun too.</t>
  </si>
  <si>
    <t>2월에 발렌타이가 있어. 오랫동안 발렌타인데이에 특별하지 않았네.
그래서 나는 싱글이고 해서 내가 초콜릿 사서 먹었음. 왜
다른사람은 다 즐거운데.. 나도 즐겁고 싶었어</t>
  </si>
  <si>
    <t>putdit</t>
  </si>
  <si>
    <t>전문가, 권위자</t>
  </si>
  <si>
    <t>outspoken</t>
  </si>
  <si>
    <t>솔직한, 직설적인</t>
  </si>
  <si>
    <t>psoriasis(써라이어시스)</t>
  </si>
  <si>
    <t>건선</t>
  </si>
  <si>
    <t>eczema(엑지마)</t>
  </si>
  <si>
    <t>습진</t>
  </si>
  <si>
    <t>anesthesia</t>
  </si>
  <si>
    <t>마취</t>
  </si>
  <si>
    <t>I can't believe the boss has us here at 6 PM on Friday.</t>
  </si>
  <si>
    <t>보스기 금요일 6시에 모이게 한것은 믿을수가 없어</t>
  </si>
  <si>
    <t>The last minute meetings have got to stop</t>
  </si>
  <si>
    <t>급하게 회의 요청하는것은 하지 말아야되</t>
  </si>
  <si>
    <t>standing water gives rise to mosquito infestatoins in hot climates</t>
  </si>
  <si>
    <t>고인물은 더운날씨에 모기가 들끊게 한다</t>
  </si>
  <si>
    <t>daily grind</t>
  </si>
  <si>
    <t>지긋지긋한 일상</t>
  </si>
  <si>
    <t>daily routine</t>
  </si>
  <si>
    <t>일상생활</t>
  </si>
  <si>
    <t>The thai food last night was nothing to write home about</t>
  </si>
  <si>
    <t>어제 먹은 태국음식은 특별하지 않았어</t>
  </si>
  <si>
    <t>nothing to write home about</t>
  </si>
  <si>
    <t>별로 특별하거나 뛰어나지 않다</t>
  </si>
  <si>
    <t>she sounds perfect</t>
  </si>
  <si>
    <t>그녀는 완벽해</t>
  </si>
  <si>
    <t>the children, they can drive up your blood pressure. They are very loud</t>
  </si>
  <si>
    <t>애기들은 너의 혈압을 오르게 할꺼야. 엄청 시끄럽거든</t>
  </si>
  <si>
    <t>I laid bare the lies told by my friend</t>
  </si>
  <si>
    <t>나는 내 친구가 한 거짓말을 낱낱이 폭로했다</t>
  </si>
  <si>
    <t>lay bare</t>
  </si>
  <si>
    <t>드러내다, 폭로하다</t>
  </si>
  <si>
    <t>I hope I can catch a break next year</t>
  </si>
  <si>
    <t>내년에 행운이 잇으면 좋겠다</t>
  </si>
  <si>
    <t>Have it bad for someone</t>
  </si>
  <si>
    <t>~ 에 푹빠지다, 사랑하다
fall head over heels in love with someone
infatuated with someone</t>
  </si>
  <si>
    <t>You've got it bad for her</t>
  </si>
  <si>
    <t>그녀에게 푹 빠지다</t>
  </si>
  <si>
    <t>thers is a eternal question, Are you an optimist?
Do you see the glass half full or half empty</t>
  </si>
  <si>
    <t>오래된 질문. 낙관론자인가요. 물잔이 반이 찼나요. 비었나요?</t>
  </si>
  <si>
    <t>My new job is a match made in heaven</t>
  </si>
  <si>
    <t>나의 새직업은 잘 맞는거 같아</t>
  </si>
  <si>
    <t>they're a match made in heaven</t>
  </si>
  <si>
    <t>그들은 천생연분이야</t>
  </si>
  <si>
    <t>It is so true so many opportunities that you don't take because of fear. 
You don't want to risk anything</t>
  </si>
  <si>
    <t>두려움 때문에 잡지 않는 기회가 정말 많다는 것은 사실이야. 
너는 어떤 위험도 감수하고 싶어 하지 않지</t>
  </si>
  <si>
    <t>Don't let your fears get in the way</t>
  </si>
  <si>
    <t>두려움이 방해가 되지 않도록 해</t>
  </si>
  <si>
    <t>Don't get in the way</t>
  </si>
  <si>
    <t>방해하지 말아줘</t>
  </si>
  <si>
    <t>The movie was just a run-of-the-mill romantic comedy with no surprise</t>
  </si>
  <si>
    <t>그 영화는 그냥 평범한 로맨틱 코미디였고, 특별한 반전도 없었어</t>
  </si>
  <si>
    <t>run-of-the-mill</t>
  </si>
  <si>
    <t>평범한, 특별할 것 없는</t>
  </si>
  <si>
    <t>It seemed like a run-of-the-mill restaurant at first, but their desserts were amazing</t>
  </si>
  <si>
    <t>처음에는 평범한 식당인줄 알았는데.. 디저트가 끝내줬어</t>
  </si>
  <si>
    <t>budge</t>
  </si>
  <si>
    <t>움직이다, 의견을 바꾸다</t>
  </si>
  <si>
    <t>Dealing with grief</t>
  </si>
  <si>
    <t>슬품에 대처하다</t>
  </si>
  <si>
    <t>I still got a lump in my throat</t>
  </si>
  <si>
    <t>난 아직도 목이 매여</t>
  </si>
  <si>
    <t>Dawn on me</t>
  </si>
  <si>
    <t>갑자기 떠오르다</t>
  </si>
  <si>
    <t>It suddenly dawned on me that I had forgotten to book my flight</t>
  </si>
  <si>
    <t>갑자기 내가 비행예약을 잊었다는게 떠올랐다</t>
  </si>
  <si>
    <t>go all out</t>
  </si>
  <si>
    <t>최선을 다하다</t>
  </si>
  <si>
    <t>The team went all out today to win the championship</t>
  </si>
  <si>
    <t>그팀은 챔피언십을 위하여 최선을 다했다</t>
  </si>
  <si>
    <t>Throw one's back out</t>
  </si>
  <si>
    <t>허리를 삐끗하다</t>
  </si>
  <si>
    <t>John threw his back out lifting heavy boxes</t>
  </si>
  <si>
    <t>그는 무거운 상자 들다가 허리를 삐끗했다</t>
  </si>
  <si>
    <t>What are you so angry about? I stubbed my toe</t>
  </si>
  <si>
    <t>왜 그리 화났어.. 내 발을 찌었어</t>
  </si>
  <si>
    <t>Can you whip up some lemonade for the guest</t>
  </si>
  <si>
    <t>손님에게 레몬네이드를 빨리 준비해줄래</t>
  </si>
  <si>
    <t xml:space="preserve">whip up ~ </t>
  </si>
  <si>
    <t>~ 을 빠르게 준비하다, 만들다</t>
  </si>
  <si>
    <t>He whipped up a quick presentation for the meeting</t>
  </si>
  <si>
    <t>그는 회의를 위해 간단한 발표를 급하게 준비했다</t>
  </si>
  <si>
    <t>Emma was pleased as punch when she won the essay contest</t>
  </si>
  <si>
    <t>엠마는 에세이 대회에서 우승했을 때 매우 기뻐했다.</t>
  </si>
  <si>
    <t>pleased as punch</t>
  </si>
  <si>
    <t>몹시 기뻐하는, 매우 만족하는</t>
  </si>
  <si>
    <t>I am quick with my hands</t>
  </si>
  <si>
    <t>나는  손이 빠르다</t>
  </si>
  <si>
    <t>In my heyday</t>
  </si>
  <si>
    <t>전성기때</t>
  </si>
  <si>
    <t>In my hey day, I was the fastest sprinter in the entire school.
that was 30 years ago, you get out of breath walking to your car</t>
  </si>
  <si>
    <t>전성기때는 내가 제일 빠른 선수 였는데..
그거 30년전이야, 지금은 차 있는데까지 가는데도 숨차</t>
  </si>
  <si>
    <t>bell pepper</t>
  </si>
  <si>
    <t>파프리카</t>
  </si>
  <si>
    <t>nasally</t>
  </si>
  <si>
    <t>코맹맹이소리 내다</t>
  </si>
  <si>
    <t>plaque</t>
  </si>
  <si>
    <t>명판</t>
  </si>
  <si>
    <t>backstab</t>
  </si>
  <si>
    <t>중상모략하다</t>
  </si>
  <si>
    <t>that must have been nice</t>
  </si>
  <si>
    <t>좋았겠네</t>
  </si>
  <si>
    <t>that must have been hard</t>
  </si>
  <si>
    <t>힘들었겠네</t>
  </si>
  <si>
    <t>pain comes waves</t>
  </si>
  <si>
    <t>고통이 파도처럼 밀려온다( 왔다 안왔다 주기적으로)</t>
  </si>
  <si>
    <t>the happiness comes in waves, but it is important to appreciate the small moments.</t>
  </si>
  <si>
    <t>행복이 왔다 안왔다 파도 처럼 오지만, 조그만것에 감사할줄 아는게 중요하다</t>
  </si>
  <si>
    <t>go easy on me</t>
  </si>
  <si>
    <t>나좀 봐줘..
Don't be too strict on me</t>
  </si>
  <si>
    <t>go easy on the salt/the onion/the ice</t>
  </si>
  <si>
    <t>소금/양파/얼음을 조금만 넣어줘</t>
  </si>
  <si>
    <t>lenient</t>
  </si>
  <si>
    <t>관대한</t>
  </si>
  <si>
    <t>intrigue</t>
  </si>
  <si>
    <t>흠미를 끌다</t>
  </si>
  <si>
    <t>I was intrigued</t>
  </si>
  <si>
    <t>난 관심있어</t>
  </si>
  <si>
    <t>I almost walked right by</t>
  </si>
  <si>
    <t>거의 그냥 지나칠뻔했어</t>
  </si>
  <si>
    <t>I am impressed</t>
  </si>
  <si>
    <t>나 감동했어</t>
  </si>
  <si>
    <t>It packs punch</t>
  </si>
  <si>
    <t>강력하다( spicy food, strong coffee)</t>
  </si>
  <si>
    <t>the smell of freshly roasted coffee pulled me in</t>
  </si>
  <si>
    <t>커피 냄새가 나를 끌어들여</t>
  </si>
  <si>
    <t>trance</t>
  </si>
  <si>
    <t>무아지경(=daze)</t>
  </si>
  <si>
    <t>I've got you covered</t>
  </si>
  <si>
    <t>내가 도와줄께, 해결해줄께</t>
  </si>
  <si>
    <t>day in and day out</t>
  </si>
  <si>
    <t>매일 반복적으로, 빠짐없이</t>
  </si>
  <si>
    <t>swear by something</t>
  </si>
  <si>
    <t>~을 확실히 믿다</t>
  </si>
  <si>
    <t>I swear by my morning yoga routine to stay energized</t>
  </si>
  <si>
    <t>나는 몸을 활기차게 하기 위해 아침요가를 확실히 믿는다</t>
  </si>
  <si>
    <t>It is grind</t>
  </si>
  <si>
    <t>반복되고 고된작업이다</t>
  </si>
  <si>
    <t>residue</t>
  </si>
  <si>
    <t>잔여물</t>
  </si>
  <si>
    <t>I want to get the dirty food residue off my hands</t>
  </si>
  <si>
    <t>손에묻은 음식 찌거기를 닦고 싶어</t>
  </si>
  <si>
    <t>I need to get the blood pumping</t>
  </si>
  <si>
    <t>몸을 좀 움직여야겠어.</t>
  </si>
  <si>
    <t>Incorporate</t>
  </si>
  <si>
    <t>포함하다, 설립하다</t>
  </si>
  <si>
    <t>He incorporate exercise in his morning routine</t>
  </si>
  <si>
    <t>아침에 하는일에 운동을 포함시켰다</t>
  </si>
  <si>
    <t>ancestral rites</t>
  </si>
  <si>
    <t>제사</t>
  </si>
  <si>
    <t>zucchini</t>
  </si>
  <si>
    <t>호박</t>
  </si>
  <si>
    <t>doable</t>
  </si>
  <si>
    <t>할만한</t>
  </si>
  <si>
    <t>about 50 minutes for 10 km running is doable for me</t>
  </si>
  <si>
    <t>10km를 50분에 뛰는것은 할만하다</t>
  </si>
  <si>
    <t>I think I turned a corner with my grief</t>
  </si>
  <si>
    <t>슬픔의 고비를 넘긴것 같다</t>
  </si>
  <si>
    <t>As long as you are not bottling up your sadness just to make everyone else
feel comfortable, that is good to hear</t>
  </si>
  <si>
    <t>네가 다른 사람들을 편하게 해주려고 슬픔을 억누르고만 있지 않다면, 그건 좋은 소식이야</t>
  </si>
  <si>
    <t>bottle up</t>
  </si>
  <si>
    <t>감정을 억누르다, 억제하다</t>
  </si>
  <si>
    <t>rambunctions</t>
  </si>
  <si>
    <t>소란스러운(= go crazy, boisterous)</t>
  </si>
  <si>
    <t>the lay of the land</t>
  </si>
  <si>
    <t>지형</t>
  </si>
  <si>
    <t>I'll try my luck buying a lottery</t>
  </si>
  <si>
    <t>복권사서 내운좀 봐야겠다</t>
  </si>
  <si>
    <t>assortment</t>
  </si>
  <si>
    <t>모음, variety for candy, snack, music</t>
  </si>
  <si>
    <t>what can i say, He always manages to surprise me.</t>
  </si>
  <si>
    <t>뭐랄까, 그는 항상 나를 놀라게 만들어</t>
  </si>
  <si>
    <t>life is full of surprise. you never know what you will find if you don't look</t>
  </si>
  <si>
    <t>안생은 놀라움으로 가득차있어. 보지 않으면 발견할수 없어</t>
  </si>
  <si>
    <t>usher</t>
  </si>
  <si>
    <t>안내하다. 수위, 안내원</t>
  </si>
  <si>
    <t>usher in</t>
  </si>
  <si>
    <t>예고하다,(기후, 계절)</t>
  </si>
  <si>
    <t xml:space="preserve">reciprocal </t>
  </si>
  <si>
    <t>상호간의</t>
  </si>
  <si>
    <t>reciprocal tariff</t>
  </si>
  <si>
    <t>상호관세</t>
  </si>
  <si>
    <t>mull something over</t>
  </si>
  <si>
    <t>~에 대해 숙고하다</t>
  </si>
  <si>
    <t>sometimes indoor air pollution is worse than the pollution air outside. so 
just because outside air is not good, you don't open the window, that is not good thing</t>
  </si>
  <si>
    <t>집안의 공기가 바깥공기보다 더 나쁠때가 있다. 바깥공기가 나쁘다고 해서
환기하지 않는것은 안 좋다</t>
  </si>
  <si>
    <t>they added the extra security measures after the fact</t>
  </si>
  <si>
    <t>그들은 사후에 보안조치를 추가했읍니다,</t>
  </si>
  <si>
    <t>on the surface, the deal looked great, but the fine print revealed problems</t>
  </si>
  <si>
    <t>겉으로는 그 거래가 아주 좋아 보였지만 세부항목에서 문제가 드러났다</t>
  </si>
  <si>
    <t>on the surface, the job seems easy but it is actually quite demanding</t>
  </si>
  <si>
    <t>겉으로는 그 일이 쉬워보이지만 실제는 꽤 부담되는 일이다</t>
  </si>
  <si>
    <t>I hope they don't frown upon substitutions</t>
  </si>
  <si>
    <t>그들이 대체음식에 눈살을 찌뿌리지 않으면 좋겠어</t>
  </si>
  <si>
    <t>when he heard the shocking news, he didn;t even bat an eye</t>
  </si>
  <si>
    <t>놀라운 소식을 들었을때 그는 꿈쩍도 안했다.</t>
  </si>
  <si>
    <t>bat an eys</t>
  </si>
  <si>
    <t>반응하다(놀람)</t>
  </si>
  <si>
    <t>as plain as day</t>
  </si>
  <si>
    <t>매우 명백한</t>
  </si>
  <si>
    <t>the mistakes in the report was as plain as day to anyone who read it</t>
  </si>
  <si>
    <t>그 보고서의 실수는 읽는사람이라면 누구에게나 명백하다</t>
  </si>
  <si>
    <t>stay put</t>
  </si>
  <si>
    <t>가만히 있어</t>
  </si>
  <si>
    <t>those were the terms of the bet, your terms by the way.</t>
  </si>
  <si>
    <t>그게 내기의 조건이었어. 당신이 정한 조건</t>
  </si>
  <si>
    <t>It doesn't hurt to ask that.</t>
  </si>
  <si>
    <t>그냥 물어봐</t>
  </si>
  <si>
    <t>It doesn't hurt to try</t>
  </si>
  <si>
    <t>해봐. 해봐서 나쁠건 없지</t>
  </si>
  <si>
    <t>It doesn't hurt to be careful</t>
  </si>
  <si>
    <t>조심해서 나쁠건 없지</t>
  </si>
  <si>
    <t>How was I to know he was lying?</t>
  </si>
  <si>
    <t>그가 거짓말하는것을 내가 어떻게 알아</t>
  </si>
  <si>
    <t>I wanted these shoes, but this one has a scuff mark on the back.
It doesn't hurt to ask for a discount. you never know what they might offer</t>
  </si>
  <si>
    <t>나는 그신발을 원하지만 그 신발은 뒤에 흠집이 있어.
깍아달라고 애기해봐. 그들이 무엇을 제안할지 모르잖아</t>
  </si>
  <si>
    <t xml:space="preserve">treat </t>
  </si>
  <si>
    <t>대접하다, 간식</t>
  </si>
  <si>
    <t>the dog will not like grab a treat, so I can put a treat in front of him</t>
  </si>
  <si>
    <t>그 개는 간식을 잘 먹지 않는다.. 그래서 개앞에 간식을 둘수 있다</t>
  </si>
  <si>
    <t>It took me months to pick up the pieces after the break up</t>
  </si>
  <si>
    <t>이별후에 정상으로 돌아오는데 수개월이 걸렸어</t>
  </si>
  <si>
    <t>this song really resonates with me because it reminds me of my own challenge</t>
  </si>
  <si>
    <t>이노래가 나의 어려움을 떠올리게 해서 정말 공감된다</t>
  </si>
  <si>
    <t>Every time I tried to give my opinion, he spoke over me and I couldn't get a word in edgewise</t>
  </si>
  <si>
    <t>내의견을 말할때 마다, 그가 내말을 가로막아서 말할틈이 없다</t>
  </si>
  <si>
    <t>He was a jerk to you</t>
  </si>
  <si>
    <t>그는 너를 애먹였다</t>
  </si>
  <si>
    <t>This classic car has stood the test of time</t>
  </si>
  <si>
    <t>이 차는 오랜 세월을 잘 견뎌 왔다</t>
  </si>
  <si>
    <t>If it ain't broke, don't fix it</t>
  </si>
  <si>
    <t>긁어 부스럼 만들지마</t>
  </si>
  <si>
    <t>Who calls the shot around here or in this restaurant</t>
  </si>
  <si>
    <t>누가 책임자야</t>
  </si>
  <si>
    <t>You have your work cut out for you</t>
  </si>
  <si>
    <t>너는  어려운 과제를 앞두고 있다.. (힘겹다)</t>
  </si>
  <si>
    <t>My boss still calls all the shot.</t>
  </si>
  <si>
    <t>보스가 모든 결정을 한다</t>
  </si>
  <si>
    <t>He was in over his head</t>
  </si>
  <si>
    <t xml:space="preserve">그는 감당할수 없다.. </t>
  </si>
  <si>
    <t>Don't chuck out my old clothes</t>
  </si>
  <si>
    <t>내 오래된 옷을 버리지마</t>
  </si>
  <si>
    <t>Good luck convincing the kids of that</t>
  </si>
  <si>
    <t>애들을 잘 설득해봐</t>
  </si>
  <si>
    <t>I can fill in for you at the meeting if you are too busy</t>
  </si>
  <si>
    <t>너무 바쁘면 내가 대신해서 회의에 참석할께,</t>
  </si>
  <si>
    <t>If worse comes to worst, we can always take a later flight</t>
  </si>
  <si>
    <t>최악의 경우에는 우린 언제든지 늦은 비행기를 타야되</t>
  </si>
  <si>
    <t>Eating too late at night can throw off your digestion</t>
  </si>
  <si>
    <t>밤에 너무 늦게 먹으면 소화에 방해된다(방해하다)</t>
  </si>
  <si>
    <t>He was out like a light</t>
  </si>
  <si>
    <t>바로 잠들다</t>
  </si>
  <si>
    <t>be head over heels~</t>
  </si>
  <si>
    <t>~에게 푹 빠지다</t>
  </si>
  <si>
    <t>at the last gasp</t>
  </si>
  <si>
    <t xml:space="preserve">숨이 넘어갈 순간에, 녹초가 되어, 절박해져서 </t>
  </si>
  <si>
    <t>do a job on</t>
  </si>
  <si>
    <t>속이다, 해치우다, 때려 부수다</t>
  </si>
  <si>
    <t>prepare the ground</t>
  </si>
  <si>
    <t>토대를 마련해주다</t>
  </si>
  <si>
    <t>smile on</t>
  </si>
  <si>
    <t xml:space="preserve">~에게 미소 짓다, 호의를 품다. </t>
  </si>
  <si>
    <t>yearning for freedom</t>
  </si>
  <si>
    <t xml:space="preserve">자유에 대한 갈망 </t>
  </si>
  <si>
    <t>show signs of something</t>
  </si>
  <si>
    <t xml:space="preserve">징조를 보이다. </t>
  </si>
  <si>
    <t>have an ache in ~</t>
  </si>
  <si>
    <t>~이 아프다.</t>
  </si>
  <si>
    <t>vie with</t>
  </si>
  <si>
    <t xml:space="preserve"> ~와 경쟁하다, 다투다</t>
  </si>
  <si>
    <t xml:space="preserve">fall in place: </t>
  </si>
  <si>
    <t xml:space="preserve">제자리에 들어가다, 꼭 맞다 </t>
  </si>
  <si>
    <t>hanker after</t>
  </si>
  <si>
    <t xml:space="preserve">~을 갈망하다. </t>
  </si>
  <si>
    <t>make limber</t>
  </si>
  <si>
    <t xml:space="preserve">유연하게 하다. </t>
  </si>
  <si>
    <t>devil-may-care</t>
  </si>
  <si>
    <t xml:space="preserve">명랑 쾌활한, 앞날을 걱정하지 않는 </t>
  </si>
  <si>
    <t>fight fire with fire</t>
  </si>
  <si>
    <t xml:space="preserve">이열치열 </t>
  </si>
  <si>
    <t>at fever pitch</t>
  </si>
  <si>
    <t xml:space="preserve">극도로 흥분한, 열기가 가득한 </t>
  </si>
  <si>
    <t>cater to</t>
  </si>
  <si>
    <t xml:space="preserve">~의 구미에 맞추다, 영합하다. </t>
  </si>
  <si>
    <t>play for time</t>
  </si>
  <si>
    <t xml:space="preserve">시간을 벌다. </t>
  </si>
  <si>
    <t>report back</t>
  </si>
  <si>
    <t xml:space="preserve">근무 장소로 돌아가다. / 다시 보고하다. </t>
  </si>
  <si>
    <t>die hard</t>
  </si>
  <si>
    <t xml:space="preserve">고치기 힘들다, 여간해서 사라지지 않다. </t>
  </si>
  <si>
    <t>hold the line</t>
  </si>
  <si>
    <t xml:space="preserve">현상을 유지하다. 전화를 끊지 않고 기다리다. </t>
  </si>
  <si>
    <t>answer back</t>
  </si>
  <si>
    <t xml:space="preserve">말대답을 하다, 반론을 제기하다. </t>
  </si>
  <si>
    <t>go down the line for</t>
  </si>
  <si>
    <t xml:space="preserve">~을 전적으로 지지하다. </t>
  </si>
  <si>
    <t>allow me to do</t>
  </si>
  <si>
    <t xml:space="preserve">실례지만 ~하겠습니다. </t>
  </si>
  <si>
    <t>have it both ways</t>
  </si>
  <si>
    <t xml:space="preserve">양쪽을 다 가지다, 원하다. </t>
  </si>
  <si>
    <t xml:space="preserve"> look over one's shoulder</t>
  </si>
  <si>
    <t xml:space="preserve">위험이 없는지 계속 살피다. </t>
  </si>
  <si>
    <t>give up the ghost</t>
  </si>
  <si>
    <t>멈추다, 죽다, 포기하다.</t>
  </si>
  <si>
    <t>hit someone between the eyes</t>
  </si>
  <si>
    <t>깜짝 놀라게 하다, 강렬한 인상을 주다</t>
  </si>
  <si>
    <t>take root</t>
  </si>
  <si>
    <t xml:space="preserve">뿌리를 내리다, 널리 받아들여지다. </t>
  </si>
  <si>
    <t>live a lie</t>
  </si>
  <si>
    <t xml:space="preserve">속내를 드러내지 않고 살다. 남의 인생을 살다. </t>
  </si>
  <si>
    <t>pass the buck</t>
  </si>
  <si>
    <t>남에게 책임을 전가하다</t>
  </si>
  <si>
    <t>on somebody's account</t>
  </si>
  <si>
    <t xml:space="preserve">~을 생각해서, ~때문에 </t>
  </si>
  <si>
    <t>pull together</t>
  </si>
  <si>
    <t xml:space="preserve">함께 일하다, 협력하다. </t>
  </si>
  <si>
    <t>enter one's mind</t>
  </si>
  <si>
    <t>생각이 떠오르다, 마음에 떠오르다.</t>
  </si>
  <si>
    <t xml:space="preserve">They're head over heels in love with each other. </t>
  </si>
  <si>
    <t>그들은 서로에게 푹 빠져 있어</t>
  </si>
  <si>
    <t>She finally showed up at the last gasp.</t>
  </si>
  <si>
    <t>그녀가 마지막 순간에 겨우 모습을 드러냈어.</t>
  </si>
  <si>
    <t>The puppy did a job on the living-room carpet.</t>
  </si>
  <si>
    <t xml:space="preserve">강아지가 거실 카펫을 다 망쳐 놓았어. </t>
  </si>
  <si>
    <t>We are preparing the ground for that work.</t>
  </si>
  <si>
    <t>우린 그 일의 토대를 마련하고 있어</t>
  </si>
  <si>
    <t xml:space="preserve">Fate has smiled on me at last! </t>
  </si>
  <si>
    <t>운명이 드디어 나에게 미소를 지어줬어.</t>
  </si>
  <si>
    <t xml:space="preserve">The protests showed a yearning for freedom. </t>
  </si>
  <si>
    <t xml:space="preserve">그 시위는 자유에 대한 갈망을 보여준 것이었어. </t>
  </si>
  <si>
    <t>길동 is showing signs of going to sleep.</t>
  </si>
  <si>
    <t>길동이가 잠자러 가고 싶은 눈치야.</t>
  </si>
  <si>
    <t xml:space="preserve">I have an ache in the left shoulder. </t>
  </si>
  <si>
    <t xml:space="preserve">왼쪽 어깨에 통증이 있어요. </t>
  </si>
  <si>
    <t xml:space="preserve">길동 vied with me for the first prize. </t>
  </si>
  <si>
    <t xml:space="preserve">길동이가 나와 1등상을 놓고 경쟁했어. </t>
  </si>
  <si>
    <t>This theory seems to fall in place.</t>
  </si>
  <si>
    <t xml:space="preserve">이 이론은 맞는 것 같아. </t>
  </si>
  <si>
    <t>She's always hankering after excitement.</t>
  </si>
  <si>
    <t xml:space="preserve">그녀는 항상 짜릿함을 갈망한다. </t>
  </si>
  <si>
    <t xml:space="preserve">These exercises make your body limber. </t>
  </si>
  <si>
    <t xml:space="preserve">이런 운동을 하면 몸이 유연해질 거야. </t>
  </si>
  <si>
    <t xml:space="preserve">길동 has a rather devil-may-care attitude towards money. </t>
  </si>
  <si>
    <t xml:space="preserve">길동이는 돈에 대해 아주 낙천적이다. </t>
  </si>
  <si>
    <t>I decided to fight fire with fire.</t>
  </si>
  <si>
    <t xml:space="preserve">불은 불로 다스리기로 했어. (나도 똑같이 응수하기로 했어.) </t>
  </si>
  <si>
    <t xml:space="preserve">The audience was at fever pitch. </t>
  </si>
  <si>
    <t xml:space="preserve">관중들이 열광의 도가니였어. </t>
  </si>
  <si>
    <t>길동's parents cater to his every whim.</t>
  </si>
  <si>
    <t xml:space="preserve">길동이네 부모님들은 길동이가 원하는 대로 다 들어준다. </t>
  </si>
  <si>
    <t xml:space="preserve"> If I can play for time a bit longer, they might lower their price.</t>
  </si>
  <si>
    <t xml:space="preserve">시간을 좀 더 끌면 가격을 좀 낮춰줄 것 같아. </t>
  </si>
  <si>
    <t>Take an hour for lunch and report back at 2.</t>
  </si>
  <si>
    <t>점심시간 1시간 후에 2시에 다시 돌아와.</t>
  </si>
  <si>
    <t xml:space="preserve">Old habits die hard. </t>
  </si>
  <si>
    <t xml:space="preserve">오래된 습관은 고치기 힘들다. </t>
  </si>
  <si>
    <t>Holding the line is not good enough.</t>
  </si>
  <si>
    <t xml:space="preserve">현상유지가 그리 좋은 건 아니다. </t>
  </si>
  <si>
    <t xml:space="preserve">I won’t have her answer me back. </t>
  </si>
  <si>
    <t xml:space="preserve">그녀가 말대꾸하는 거 용납 못해. </t>
  </si>
  <si>
    <t>We go down the line for this bill.</t>
  </si>
  <si>
    <t>우린 이 법안을 전적으로 지지해.</t>
  </si>
  <si>
    <t xml:space="preserve">Allow me to teach you some exercises you can do anywhere, </t>
  </si>
  <si>
    <t xml:space="preserve">어디서나 할 수 있는 운동 좀 알려드릴게요. </t>
  </si>
  <si>
    <t xml:space="preserve">길동 wants the security of marriage and the freedom of being single. He wants to have it both ways. </t>
  </si>
  <si>
    <t>길동이는 결혼의 안정감과 독신의 자유를 동시에 원하고 있어.</t>
  </si>
  <si>
    <t>길동‘s always looking over his shoulder.</t>
  </si>
  <si>
    <t>길동이는 무슨 위험이라도 닥치지 않을까 항상 전전긍긍한다</t>
  </si>
  <si>
    <t>민희 is just about to give up the ghost.</t>
  </si>
  <si>
    <t xml:space="preserve">민희가 포기하기 일보 직전이야. </t>
  </si>
  <si>
    <t>When I read that article it hit me right between the eyes.</t>
  </si>
  <si>
    <t xml:space="preserve">그 기사를 읽고 엄청난 충격을 받았어. </t>
  </si>
  <si>
    <t>My ideas began to take root and influence other people.</t>
  </si>
  <si>
    <t xml:space="preserve">내 제안이 다른 사람들에게 받아들여져 영향을 주기 시작했어. </t>
  </si>
  <si>
    <t xml:space="preserve">I could no longer bear the strain of living a lie. </t>
  </si>
  <si>
    <t xml:space="preserve">더 이상 내 모습을 속이면서 살 수 없어. </t>
  </si>
  <si>
    <t xml:space="preserve">Don't try to pass the buck! It's your fault. </t>
  </si>
  <si>
    <t xml:space="preserve">책임 전가하려고 하지 마. 너의 잘못이야! </t>
  </si>
  <si>
    <t>Don't do it on my account.</t>
  </si>
  <si>
    <t xml:space="preserve">나 때문이라고 하지 마. </t>
  </si>
  <si>
    <t>Let's all pull together and get this done.</t>
  </si>
  <si>
    <t xml:space="preserve">다 함께 협력해서 이 일을 마치자. </t>
  </si>
  <si>
    <t>A very interesting idea just entered my mind.</t>
  </si>
  <si>
    <t xml:space="preserve">아주 흥미로운 생각이 떠올랐어. </t>
  </si>
  <si>
    <t>stick around</t>
  </si>
  <si>
    <t>가지말고 좀더 있어</t>
  </si>
  <si>
    <t>I've never seen you eat so much</t>
  </si>
  <si>
    <t>Stick around. You'll be surprised</t>
  </si>
  <si>
    <t>That figures!</t>
  </si>
  <si>
    <t>내 그럴줄 알았다니까</t>
  </si>
  <si>
    <t>A typhoon is on the way</t>
  </si>
  <si>
    <t>That figures! It's my day off</t>
  </si>
  <si>
    <t>That's the spirit</t>
  </si>
  <si>
    <t>바로 그거야</t>
  </si>
  <si>
    <t>Things didn't work out, but I'll try again</t>
  </si>
  <si>
    <t>I'm at my wit's end</t>
  </si>
  <si>
    <t>속수무책이야</t>
  </si>
  <si>
    <t>I can't find my keys. I'm at my wit's end</t>
  </si>
  <si>
    <t>Take a deep breath. Retrace your steps</t>
  </si>
  <si>
    <t>in the blink of an eye</t>
  </si>
  <si>
    <t>눈깜짝할사이에</t>
  </si>
  <si>
    <t>Kids grow up so fast</t>
  </si>
  <si>
    <t>Yes. The years go by in the blink of an eye</t>
  </si>
  <si>
    <t>Not that I know of</t>
  </si>
  <si>
    <t>내가알기로는 그렇지는 않은데</t>
  </si>
  <si>
    <t>Is Jenny seeing anyone</t>
  </si>
  <si>
    <t>I'm debating</t>
  </si>
  <si>
    <t>나는 고민중이야</t>
  </si>
  <si>
    <t>Are you going out tonight?</t>
  </si>
  <si>
    <t>It was just meant to be.</t>
  </si>
  <si>
    <t>그건 운명이었어. 언젠가 겪을일이었어</t>
  </si>
  <si>
    <t>How do you two fall in love?</t>
  </si>
  <si>
    <t>Your stockings got a run</t>
  </si>
  <si>
    <t>스타킹 올이 나갔어</t>
  </si>
  <si>
    <t>I must have snagged something</t>
  </si>
  <si>
    <t>your fly's open</t>
  </si>
  <si>
    <t>너 지퍼 열렸어</t>
  </si>
  <si>
    <t>thanks for noticing</t>
  </si>
  <si>
    <t>알려줘서 고마워</t>
  </si>
  <si>
    <t>thanks's goodness</t>
  </si>
  <si>
    <t>정말 다행이다. 고맙기도 해라</t>
  </si>
  <si>
    <t>I heard we're getting a raise</t>
  </si>
  <si>
    <t>우리 임금 인상된대</t>
  </si>
  <si>
    <t>thanks goodness! it's way overdue</t>
  </si>
  <si>
    <t>정말 다행이다. 진작 그랬어야 했어</t>
  </si>
  <si>
    <t>mother-to-be</t>
  </si>
  <si>
    <t>예비엄마</t>
  </si>
  <si>
    <t>How's the mother-to-be</t>
  </si>
  <si>
    <t>예비엄마 생활은 어때요</t>
  </si>
  <si>
    <t>I'm dealing with morning sickness</t>
  </si>
  <si>
    <t>입덧과 씨름하고 있죠</t>
  </si>
  <si>
    <t>Seriously</t>
  </si>
  <si>
    <t>진짜야</t>
  </si>
  <si>
    <t>Heavy traffic is for the birds</t>
  </si>
  <si>
    <t>교통체증 정말 형편없어</t>
  </si>
  <si>
    <t>Seriously. The subway is the way to go</t>
  </si>
  <si>
    <t>진짜 그래. 지하철 타고 다니는게 최선이야</t>
  </si>
  <si>
    <t>I'm getting there</t>
  </si>
  <si>
    <t>슬슬 그러려고 하네</t>
  </si>
  <si>
    <t>Is your English improving?</t>
  </si>
  <si>
    <t>영어실력은 늘고 있어</t>
  </si>
  <si>
    <t>점점 그렇게 되고 있어</t>
  </si>
  <si>
    <t>Forget it</t>
  </si>
  <si>
    <t>그만둬! 됐어</t>
  </si>
  <si>
    <t>I'm sorry about the other day</t>
  </si>
  <si>
    <t>저번에는 미안했어</t>
  </si>
  <si>
    <t>Forget it. we all make mistakes</t>
  </si>
  <si>
    <t>됐어. 누구나 실수 하잖아</t>
  </si>
  <si>
    <t>one of a kind</t>
  </si>
  <si>
    <t>단하나의 독보적인 존재</t>
  </si>
  <si>
    <t>Mike is a very unique guy</t>
  </si>
  <si>
    <t>마이크는 정말 독특한 애야</t>
  </si>
  <si>
    <t>Yep. He is one of kind</t>
  </si>
  <si>
    <t>맞아. 독보적인 존재지</t>
  </si>
  <si>
    <t>turn a blind eye</t>
  </si>
  <si>
    <t>보고도 못본체 하다. 눈감아 주다. 무시하다</t>
  </si>
  <si>
    <t>sam's drinking a lot these days</t>
  </si>
  <si>
    <t>요새 샘이 술을 엄청 마셔</t>
  </si>
  <si>
    <t>I know. we should'nt turn a blind eye</t>
  </si>
  <si>
    <t>그러게 말야. 그냥 눈감아 줘선 안돼</t>
  </si>
  <si>
    <t>old school</t>
  </si>
  <si>
    <t>구닥다리인, 후진</t>
  </si>
  <si>
    <t>Do you have one of the new phones?</t>
  </si>
  <si>
    <t>신형전화기 있어?</t>
  </si>
  <si>
    <t>No. I'm still old school</t>
  </si>
  <si>
    <t>아니 내가 아직 구식이라서</t>
  </si>
  <si>
    <t>Don't push it</t>
  </si>
  <si>
    <t>강요하지마. 그만좀해</t>
  </si>
  <si>
    <t>Nice hair. Did you cut it yourself</t>
  </si>
  <si>
    <t>머리 멋진대. 네가 잘랐어</t>
  </si>
  <si>
    <t>Don't push it. I've had a rough day</t>
  </si>
  <si>
    <t>그만좀해. 오늘 무척 힘든 하루였단 말야</t>
  </si>
  <si>
    <t>neck and neck</t>
  </si>
  <si>
    <t>막상막하인</t>
  </si>
  <si>
    <t>Who's winning the game</t>
  </si>
  <si>
    <t>그경기 누가 이기고 있어</t>
  </si>
  <si>
    <t>So far, it is neck and neck</t>
  </si>
  <si>
    <t>아직까지 막상막하야</t>
  </si>
  <si>
    <t>call it a day</t>
  </si>
  <si>
    <t>하루일과를 끝내다</t>
  </si>
  <si>
    <t>It's late and I'm hungry</t>
  </si>
  <si>
    <t>늦었는데 나 배고파</t>
  </si>
  <si>
    <t>Come on. Let's call it a day</t>
  </si>
  <si>
    <t>이런 오늘은 이만 끝내자</t>
  </si>
  <si>
    <t>Foreign Correspondent</t>
  </si>
  <si>
    <t>외신기자</t>
  </si>
  <si>
    <t>injured people</t>
  </si>
  <si>
    <t>부상자</t>
  </si>
  <si>
    <t>Commit a crime</t>
  </si>
  <si>
    <t>범죄를 저지르다</t>
  </si>
  <si>
    <t>dense fog / thick fog</t>
  </si>
  <si>
    <t>짙은 안개</t>
  </si>
  <si>
    <t>steering wheel</t>
  </si>
  <si>
    <t>운전대</t>
  </si>
  <si>
    <t>take medicine</t>
  </si>
  <si>
    <t>약을 먹다</t>
  </si>
  <si>
    <t>prime time</t>
  </si>
  <si>
    <t>황금시간대</t>
  </si>
  <si>
    <t>lack of love</t>
  </si>
  <si>
    <t>애정결핍</t>
  </si>
  <si>
    <t>bare skin</t>
  </si>
  <si>
    <t>맨살</t>
  </si>
  <si>
    <t>apply ointment</t>
  </si>
  <si>
    <t>연고를 바르다</t>
  </si>
  <si>
    <t xml:space="preserve"> join the army</t>
  </si>
  <si>
    <t>입대하다</t>
  </si>
  <si>
    <t>rattlesnake</t>
  </si>
  <si>
    <t>방울뱀</t>
  </si>
  <si>
    <t>major surgery /major operation</t>
  </si>
  <si>
    <t>대수술</t>
  </si>
  <si>
    <t>pitch dark</t>
  </si>
  <si>
    <t>칠흑같이 어두운</t>
  </si>
  <si>
    <t xml:space="preserve"> empty promise</t>
  </si>
  <si>
    <t>헛된 약속</t>
  </si>
  <si>
    <t>blood donation</t>
  </si>
  <si>
    <t>헌혈</t>
  </si>
  <si>
    <t>blood vessel</t>
  </si>
  <si>
    <t>혈관</t>
  </si>
  <si>
    <t>body odor</t>
  </si>
  <si>
    <t>체취</t>
  </si>
  <si>
    <t>natural enemy</t>
  </si>
  <si>
    <t>천척</t>
  </si>
  <si>
    <t>change the subject</t>
  </si>
  <si>
    <t>말을 바꾸다</t>
  </si>
  <si>
    <t>single parent</t>
  </si>
  <si>
    <t>편부모</t>
  </si>
  <si>
    <t xml:space="preserve"> flu shot </t>
  </si>
  <si>
    <t>독감 예방주사</t>
  </si>
  <si>
    <t>concise explanation</t>
  </si>
  <si>
    <t>간결한 설명</t>
  </si>
  <si>
    <t>fake smile</t>
  </si>
  <si>
    <t>억지웃음</t>
  </si>
  <si>
    <t>concrete example</t>
  </si>
  <si>
    <t>구체적인예</t>
  </si>
  <si>
    <t>backfire/backlash/adverse effect</t>
  </si>
  <si>
    <t>watch television</t>
  </si>
  <si>
    <t>텔레비전을 보다</t>
  </si>
  <si>
    <t>herds of cattle</t>
  </si>
  <si>
    <t>소떼</t>
  </si>
  <si>
    <t>home appliances</t>
  </si>
  <si>
    <t>가전제품</t>
  </si>
  <si>
    <t>answer the phone</t>
  </si>
  <si>
    <t>전화를 받다</t>
  </si>
  <si>
    <t xml:space="preserve"> wear glasses</t>
  </si>
  <si>
    <t>안경을 쓰다</t>
  </si>
  <si>
    <t>invisible man</t>
  </si>
  <si>
    <t>투명인간</t>
  </si>
  <si>
    <t>motion sickness</t>
  </si>
  <si>
    <t>멀미</t>
  </si>
  <si>
    <t>place an order</t>
  </si>
  <si>
    <t>주문하다</t>
  </si>
  <si>
    <t>dual nationality</t>
  </si>
  <si>
    <t>이중국적</t>
  </si>
  <si>
    <t>dress code</t>
  </si>
  <si>
    <t>복장규정</t>
  </si>
  <si>
    <t>drive a nail</t>
  </si>
  <si>
    <t>못을 박다</t>
  </si>
  <si>
    <t xml:space="preserve">Economics reporter </t>
  </si>
  <si>
    <t>경제부 기자</t>
  </si>
  <si>
    <t>an oval face</t>
  </si>
  <si>
    <t>계란형 얼굴</t>
  </si>
  <si>
    <t xml:space="preserve"> electronic products.</t>
  </si>
  <si>
    <t>전자제품</t>
  </si>
  <si>
    <t xml:space="preserve"> Personnel Manager</t>
  </si>
  <si>
    <t>인사담당자</t>
  </si>
  <si>
    <t>expiration date</t>
  </si>
  <si>
    <t>만기일</t>
  </si>
  <si>
    <t>swallow an insult</t>
  </si>
  <si>
    <t>모욕을 참다</t>
  </si>
  <si>
    <t>obvious difference/clear difference</t>
  </si>
  <si>
    <t>명확한 차이</t>
  </si>
  <si>
    <t xml:space="preserve"> vicious circle</t>
  </si>
  <si>
    <t>악순환</t>
  </si>
  <si>
    <t xml:space="preserve"> virtuous circle</t>
  </si>
  <si>
    <t>선순환</t>
  </si>
  <si>
    <t>ill effects</t>
  </si>
  <si>
    <t>악영향</t>
  </si>
  <si>
    <t>heated argument/discussion</t>
  </si>
  <si>
    <t>열띤논쟁</t>
  </si>
  <si>
    <t>remote village</t>
  </si>
  <si>
    <t>벽촌</t>
  </si>
  <si>
    <t xml:space="preserve"> first aid.</t>
  </si>
  <si>
    <t>응급처치</t>
  </si>
  <si>
    <t>senior moment</t>
  </si>
  <si>
    <t>깜박하는 순간</t>
  </si>
  <si>
    <t xml:space="preserve"> scent of flowers</t>
  </si>
  <si>
    <t>꽃향기</t>
  </si>
  <si>
    <t>Alumni Association</t>
  </si>
  <si>
    <t>동창회</t>
  </si>
  <si>
    <t>grave danger</t>
  </si>
  <si>
    <t>중대위기</t>
  </si>
  <si>
    <t>genetic information</t>
  </si>
  <si>
    <t>유전자 정보</t>
  </si>
  <si>
    <t xml:space="preserve"> labor costs</t>
  </si>
  <si>
    <t>인건비</t>
  </si>
  <si>
    <t xml:space="preserve"> urgent[pressing] issue</t>
  </si>
  <si>
    <t>시급한문제</t>
  </si>
  <si>
    <t>a distant relation</t>
  </si>
  <si>
    <t>먼친척</t>
  </si>
  <si>
    <t>a basic instinct</t>
  </si>
  <si>
    <t>원초적 본능</t>
  </si>
  <si>
    <t>a life insurance policy</t>
  </si>
  <si>
    <t>보험증서</t>
  </si>
  <si>
    <t>alternative energy</t>
  </si>
  <si>
    <t>대체에너지</t>
  </si>
  <si>
    <t>job opening</t>
  </si>
  <si>
    <t>일자리</t>
  </si>
  <si>
    <t>death penalty</t>
  </si>
  <si>
    <t>사형</t>
  </si>
  <si>
    <t>speech disorder[defect, impediment]</t>
  </si>
  <si>
    <t>언어장애</t>
  </si>
  <si>
    <t xml:space="preserve"> overwhelming majority/ clear majority </t>
  </si>
  <si>
    <t>압도적인 다수</t>
  </si>
  <si>
    <t>Minor Offenses</t>
  </si>
  <si>
    <t>경범죄</t>
  </si>
  <si>
    <t>living expenses</t>
  </si>
  <si>
    <t>생활비</t>
  </si>
  <si>
    <t>imaginary[false, phantom] pregnancy</t>
  </si>
  <si>
    <t>상상임신</t>
  </si>
  <si>
    <t>permanent[perpetual] snow</t>
  </si>
  <si>
    <t>만년설</t>
  </si>
  <si>
    <t>miss the bus</t>
  </si>
  <si>
    <t>버스를 놓치다</t>
  </si>
  <si>
    <t>wisdom tooth</t>
  </si>
  <si>
    <t>사랑니</t>
  </si>
  <si>
    <t>sense[feeling] of superiority, superiority complex</t>
  </si>
  <si>
    <t>우월감</t>
  </si>
  <si>
    <t>a drug addict</t>
  </si>
  <si>
    <t>마약중독자</t>
  </si>
  <si>
    <t>thin syrup</t>
  </si>
  <si>
    <t>묽은시럽</t>
  </si>
  <si>
    <t>bad breath</t>
  </si>
  <si>
    <t>입냄새</t>
  </si>
  <si>
    <t>oral tradition</t>
  </si>
  <si>
    <t>구전</t>
  </si>
  <si>
    <t>musical note(notation)</t>
  </si>
  <si>
    <t>음표</t>
  </si>
  <si>
    <t>natural selection</t>
  </si>
  <si>
    <t>자연도태</t>
  </si>
  <si>
    <t>white lie</t>
  </si>
  <si>
    <t>선의의 거짓말</t>
  </si>
  <si>
    <t>cube[lump, block, cut] sugar</t>
  </si>
  <si>
    <t>각설탕</t>
  </si>
  <si>
    <t>late-night meal[snack]</t>
  </si>
  <si>
    <t>야식</t>
  </si>
  <si>
    <t>nosebleed</t>
  </si>
  <si>
    <t>suit, full dress, formal dress</t>
  </si>
  <si>
    <t>정장</t>
  </si>
  <si>
    <t>native inhabitant</t>
  </si>
  <si>
    <t>원주민</t>
  </si>
  <si>
    <t xml:space="preserve"> excessive[severe; heavy] bleeding</t>
  </si>
  <si>
    <t>과다출혈</t>
  </si>
  <si>
    <t>written consent</t>
  </si>
  <si>
    <t>서면동의</t>
  </si>
  <si>
    <t>absence[lack] of expression/blank expression</t>
  </si>
  <si>
    <t>무표정</t>
  </si>
  <si>
    <t xml:space="preserve">blackout, power failure, (Am) (power) outage, (Brit) power cut </t>
  </si>
  <si>
    <t>정전</t>
  </si>
  <si>
    <t>own goal</t>
  </si>
  <si>
    <t>자살골</t>
  </si>
  <si>
    <t>personal attack</t>
  </si>
  <si>
    <t>인신공격</t>
  </si>
  <si>
    <t>utility bill</t>
  </si>
  <si>
    <t>공과금</t>
  </si>
  <si>
    <t>issue a (credit) card</t>
  </si>
  <si>
    <t>카드를 발급하다</t>
  </si>
  <si>
    <t>cause and effect</t>
  </si>
  <si>
    <t>원인과 결과</t>
  </si>
  <si>
    <t>field of reeds</t>
  </si>
  <si>
    <t>갈대밭</t>
  </si>
  <si>
    <t>the Marine Corps</t>
  </si>
  <si>
    <t>해병대</t>
  </si>
  <si>
    <t>sick leave</t>
  </si>
  <si>
    <t>병가</t>
  </si>
  <si>
    <t>plastic bag</t>
  </si>
  <si>
    <t>비닐봉지</t>
  </si>
  <si>
    <t>prompt payment</t>
  </si>
  <si>
    <t>즉시지급</t>
  </si>
  <si>
    <t>right angle</t>
  </si>
  <si>
    <t>직각</t>
  </si>
  <si>
    <t>rat race / the struggle for existence</t>
  </si>
  <si>
    <t>생존경쟁</t>
  </si>
  <si>
    <t>reckless driving</t>
  </si>
  <si>
    <t>난폭운전</t>
  </si>
  <si>
    <t>surefire</t>
  </si>
  <si>
    <t xml:space="preserve">틀림없다,성공하다 </t>
  </si>
  <si>
    <t>skewer</t>
  </si>
  <si>
    <t>꼬챙이,꼬치</t>
  </si>
  <si>
    <t>sweetheart deal</t>
  </si>
  <si>
    <t>담합</t>
  </si>
  <si>
    <t>Preemtive strike</t>
  </si>
  <si>
    <t>선제공격</t>
  </si>
  <si>
    <t xml:space="preserve">rain front </t>
  </si>
  <si>
    <t>장마전선</t>
  </si>
  <si>
    <t xml:space="preserve">torrential rain, heavy rain </t>
  </si>
  <si>
    <t>폭우</t>
  </si>
  <si>
    <t>hog</t>
  </si>
  <si>
    <t>돼지, 욕심쟁이</t>
  </si>
  <si>
    <t>hoof</t>
  </si>
  <si>
    <t>발굽</t>
  </si>
  <si>
    <t>contain</t>
  </si>
  <si>
    <t>담고있다, 견제하다, 봉쇄정책을 쓰다</t>
  </si>
  <si>
    <t>sever</t>
  </si>
  <si>
    <t>seperate, keep apart</t>
  </si>
  <si>
    <t>vindicate</t>
  </si>
  <si>
    <t>to clear of accusation, blame</t>
  </si>
  <si>
    <t>archaic</t>
  </si>
  <si>
    <t>relating to characteristic of a much earlier, often more primitive period</t>
  </si>
  <si>
    <t>ordinance</t>
  </si>
  <si>
    <t>an authoritative command or order</t>
  </si>
  <si>
    <t>whammy</t>
  </si>
  <si>
    <t>재수없는 물건, 주문</t>
  </si>
  <si>
    <t>gnat</t>
  </si>
  <si>
    <t>any of various small, biting, two-winged flies</t>
  </si>
  <si>
    <t>bonanza</t>
  </si>
  <si>
    <t>a rich mine, vein ; source of great wealth;(함유량이) 풍부한 광맥;대성공, 행운, 노다지, 운수 대통;(농장의) 대풍년;보고(寶庫)</t>
  </si>
  <si>
    <t>counterfeit or fake</t>
  </si>
  <si>
    <t>후회, 양심의 가책</t>
  </si>
  <si>
    <t>veracity</t>
  </si>
  <si>
    <t>adherence to the truth</t>
  </si>
  <si>
    <t>antediluvian</t>
  </si>
  <si>
    <t>extremely old and antiquted</t>
  </si>
  <si>
    <t>upfront</t>
  </si>
  <si>
    <t>솔직한;맨앞줄의,눈에뛰는</t>
  </si>
  <si>
    <t>lotus</t>
  </si>
  <si>
    <t>연꽃</t>
  </si>
  <si>
    <t>허세부리는, 겉꾸미는</t>
  </si>
  <si>
    <t>cremation</t>
  </si>
  <si>
    <t>화장, 소각</t>
  </si>
  <si>
    <t>mimic</t>
  </si>
  <si>
    <t>to copy or imitate closely</t>
  </si>
  <si>
    <t>sluggish</t>
  </si>
  <si>
    <t>displaying little movement; slow; inacitve</t>
  </si>
  <si>
    <t>shove</t>
  </si>
  <si>
    <t>to push foward</t>
  </si>
  <si>
    <t>restitution</t>
  </si>
  <si>
    <t>the act of restoring to the rightful owner something that has been taken away</t>
  </si>
  <si>
    <t>belated</t>
  </si>
  <si>
    <t>having been delayed</t>
  </si>
  <si>
    <t>snarl</t>
  </si>
  <si>
    <t>to growl viciously;to speak anglily</t>
  </si>
  <si>
    <t>cognitive</t>
  </si>
  <si>
    <t>인식의, 인식력 있는</t>
  </si>
  <si>
    <t>hiatus</t>
  </si>
  <si>
    <t>a pause in which nothing happens, or a gap where something is missing;틈, 벌어진 틈(gap), 갈라진 금, 틈새기, 균열;(일·행동 등의) 중단, 끊어짐</t>
  </si>
  <si>
    <t>overhaul</t>
  </si>
  <si>
    <t>면밀히 조사하다</t>
  </si>
  <si>
    <t>ore</t>
  </si>
  <si>
    <t>광석</t>
  </si>
  <si>
    <t>bleak</t>
  </si>
  <si>
    <t>황량한, 처량한, 삭막한(dreary);</t>
  </si>
  <si>
    <t>eke</t>
  </si>
  <si>
    <t>보충하다, 꾸려 나가다</t>
  </si>
  <si>
    <t>plummet</t>
  </si>
  <si>
    <t>다림추, 가늠추 ; 똑바로 떨어지다 《down》;뛰어들다(plunge);</t>
  </si>
  <si>
    <t>predicament</t>
  </si>
  <si>
    <t>곤경, 궁지</t>
  </si>
  <si>
    <t>perennial</t>
  </si>
  <si>
    <t>사철을 통한, 연중 끊이지 않는,장기간[여러 해] 계속하는;영구한</t>
  </si>
  <si>
    <t>〈어린애를〉 달래다, 어르다;〈남을〉 달래어 …하게 하다</t>
  </si>
  <si>
    <t>truce</t>
  </si>
  <si>
    <t>휴전(협정), 정전(停戰) ; 휴지(休止), 중단, 경감</t>
  </si>
  <si>
    <t>shenanigan</t>
  </si>
  <si>
    <t>허튼소리(nonsense), 장난; 속임, 사기, 기만(deceit)</t>
  </si>
  <si>
    <t xml:space="preserve"> gust</t>
  </si>
  <si>
    <t>한바탕 부는 바람, 질풍, 돌풍</t>
  </si>
  <si>
    <t>salvage</t>
  </si>
  <si>
    <t>해난(海難) 구조, 조난 선박의 화물 구조</t>
  </si>
  <si>
    <t>dumbfound</t>
  </si>
  <si>
    <t>말문이 막히게[깜짝 놀라게] 하다, 어쩔 줄 모르게 하다</t>
  </si>
  <si>
    <t>jubilation</t>
  </si>
  <si>
    <t>환희, 환호;C 축하, 경축, 축제</t>
  </si>
  <si>
    <t>acquit</t>
  </si>
  <si>
    <t>무죄로 하다, 무죄를 선고하다, 방면하다, 석방하다</t>
  </si>
  <si>
    <t xml:space="preserve"> outcry </t>
  </si>
  <si>
    <t>부르짖음, 절규, 비명, 외치는 소리;시끄러움;(대중의) 강력한 항의 《against, over, about》</t>
  </si>
  <si>
    <t>shed</t>
  </si>
  <si>
    <t>오두막;〈피·눈물 등을〉 흘리다;〈물·액체 등을〉 (샘솟듯) 솟구치게 하다, 내뿜게 하다;〈빛·소리·냄새를〉 발하다, 발산하다;</t>
  </si>
  <si>
    <t>imminent</t>
  </si>
  <si>
    <t>절박한, 촉박한</t>
  </si>
  <si>
    <t>bereave</t>
  </si>
  <si>
    <t>빼앗다(Deprive)</t>
  </si>
  <si>
    <t>hamper</t>
  </si>
  <si>
    <t>방해하다</t>
  </si>
  <si>
    <t>rampant</t>
  </si>
  <si>
    <t>사나운, 자유분방한, (병등이)유행하는, 만연하는</t>
  </si>
  <si>
    <t>brass</t>
  </si>
  <si>
    <t>고급장교, 놋쇠, 금관악기</t>
  </si>
  <si>
    <t>buoy</t>
  </si>
  <si>
    <t>부표, 뛰우다, 지지하다, 뜨다</t>
  </si>
  <si>
    <t xml:space="preserve">ramble </t>
  </si>
  <si>
    <t>어슬렁 어슬렁 거리다, 두서없이 말하다</t>
  </si>
  <si>
    <t>bourse</t>
  </si>
  <si>
    <t>파리의 증권거래서</t>
  </si>
  <si>
    <t>debacle</t>
  </si>
  <si>
    <t>사태,붕괴,괴멸</t>
  </si>
  <si>
    <t>arboreal</t>
  </si>
  <si>
    <t>나무의</t>
  </si>
  <si>
    <t>Fiscal</t>
  </si>
  <si>
    <t>재정상의, 회계의</t>
  </si>
  <si>
    <t>fiscal year</t>
  </si>
  <si>
    <t>회계 연도</t>
  </si>
  <si>
    <t>wind down</t>
  </si>
  <si>
    <t>서서히 끝내다</t>
  </si>
  <si>
    <t>constrictor</t>
  </si>
  <si>
    <t>먹이를 졸라 죽이는 큰뱀, 압축시키는것</t>
  </si>
  <si>
    <t>Python</t>
  </si>
  <si>
    <t>비단뱀</t>
  </si>
  <si>
    <t>Dwindle</t>
  </si>
  <si>
    <t>점차 감소하다</t>
  </si>
  <si>
    <t>evasive</t>
  </si>
  <si>
    <t>회피적인, 파악하기 어려운, 애매한</t>
  </si>
  <si>
    <t>slog</t>
  </si>
  <si>
    <t>강타하다, 꾸준히 노력하다</t>
  </si>
  <si>
    <t xml:space="preserve">prank </t>
  </si>
  <si>
    <t>농담, 희롱, (짓궂은) 장난(mischief);</t>
  </si>
  <si>
    <t>laud</t>
  </si>
  <si>
    <t>to praise sb/sth</t>
  </si>
  <si>
    <t>reprimand</t>
  </si>
  <si>
    <t>to tell sb officially that you do not approve of them or their actions</t>
  </si>
  <si>
    <t>sloppy</t>
  </si>
  <si>
    <t>that shows a lack of care, thought or effort</t>
  </si>
  <si>
    <t>shoddy</t>
  </si>
  <si>
    <t>of goods, work, etc. made or done badly and with not enough care</t>
  </si>
  <si>
    <t>acting or done with no skill</t>
  </si>
  <si>
    <t>emeritus</t>
  </si>
  <si>
    <t>used with a title to show that a person, usually a university teacher, keeps the title as an honour, although he or she has stopped working</t>
  </si>
  <si>
    <t>botch</t>
  </si>
  <si>
    <t>to spoil sth by doing it badly,
a small problem or fault that stops sth working successfully</t>
  </si>
  <si>
    <t>startle</t>
  </si>
  <si>
    <t>to surprise sb suddenly in a way that slightly shocks or frightens them</t>
  </si>
  <si>
    <t>revamp</t>
  </si>
  <si>
    <t>to make changes to the form of sth, usually to improve its appearance</t>
  </si>
  <si>
    <t>dampen</t>
  </si>
  <si>
    <t>to make sth slightly wet</t>
  </si>
  <si>
    <t>backlash</t>
  </si>
  <si>
    <t>a strong negative reaction by a large number of people, for example to sth that has recently changed in society</t>
  </si>
  <si>
    <t>stratagem</t>
  </si>
  <si>
    <t>a trick or plan that you use to gain an advantage or to trick an opponent</t>
  </si>
  <si>
    <t>loafer</t>
  </si>
  <si>
    <t>a person who wastes their time rather than working
간편화</t>
  </si>
  <si>
    <t>마찰,충돌</t>
  </si>
  <si>
    <t>catalyst</t>
  </si>
  <si>
    <t>촉매,자극,촉진제</t>
  </si>
  <si>
    <t xml:space="preserve">to break or violate (eg a law or oath). </t>
  </si>
  <si>
    <t xml:space="preserve">신빙성, 확실성(reliability); 진실성, 진정성(眞正性); 출처가 분명함, 진품[진짜]임. </t>
  </si>
  <si>
    <t>swear</t>
  </si>
  <si>
    <t xml:space="preserve">at sb/sth to use rude or offensive language, usually because you are angry
to make a serious promise to do sth </t>
  </si>
  <si>
    <t>villain</t>
  </si>
  <si>
    <t xml:space="preserve">the main bad character in a story, play, etc. 
a person who is morally bad or responsible for causing trouble or harm </t>
  </si>
  <si>
    <t>altercation</t>
  </si>
  <si>
    <t xml:space="preserve">a noisy argument or disagreement </t>
  </si>
  <si>
    <t>nemesis</t>
  </si>
  <si>
    <t xml:space="preserve"> punishment or defeat that is deserved and cannot be avoided 
</t>
  </si>
  <si>
    <t>bicker</t>
  </si>
  <si>
    <t>to argue about things that are not important ; squabble</t>
  </si>
  <si>
    <t>mutiny</t>
  </si>
  <si>
    <t xml:space="preserve"> the act of refusing to obey the orders of sb in authority, especially by soldiers or sailors </t>
  </si>
  <si>
    <t>espionage</t>
  </si>
  <si>
    <t xml:space="preserve">the activity of secretly getting important political or military information about another country or of finding out another company’s secrets by using spies </t>
  </si>
  <si>
    <t>spar</t>
  </si>
  <si>
    <t xml:space="preserve">to argue with sb, usually in a friendly way </t>
  </si>
  <si>
    <t>heed</t>
  </si>
  <si>
    <t xml:space="preserve">(formal) to pay careful attention to sb’s advice or warning </t>
  </si>
  <si>
    <t>implore</t>
  </si>
  <si>
    <t xml:space="preserve">to ask sb to do sth in an anxious way because you want or need it very much 
</t>
  </si>
  <si>
    <t xml:space="preserve">the act of saving things that have been, or are likely to be, damaged or lost, especially in a disaster or an accident 
</t>
  </si>
  <si>
    <t>averse</t>
  </si>
  <si>
    <t xml:space="preserve"> not liking sth or wanting to do sth; opposed to doing sth 
</t>
  </si>
  <si>
    <t>armistice</t>
  </si>
  <si>
    <t xml:space="preserve">a formal agreement during a war to stop fighting and discuss making peace </t>
  </si>
  <si>
    <t>scupper</t>
  </si>
  <si>
    <t xml:space="preserve">to cause sb/sth to fail </t>
  </si>
  <si>
    <t>vet</t>
  </si>
  <si>
    <t xml:space="preserve">to find out about a person’s past life and career in order to decide if they are suitable for a particular job </t>
  </si>
  <si>
    <t>lash</t>
  </si>
  <si>
    <t xml:space="preserve">to hit sb/sth with great force 
to hit a person or an animal with a whip, rope, stick, etc. </t>
  </si>
  <si>
    <t xml:space="preserve">to tell sb officially that you do not approve of them or their actions </t>
  </si>
  <si>
    <t>mull</t>
  </si>
  <si>
    <t xml:space="preserve">곶, 갑; 실수, 실패, 혼란   </t>
  </si>
  <si>
    <t>grandiose</t>
  </si>
  <si>
    <t xml:space="preserve"> (disapproving) seeming very impressive but too large, complicated, expensive, etc. to be practical or possible </t>
  </si>
  <si>
    <t>chagrin</t>
  </si>
  <si>
    <t xml:space="preserve">a feeling of being disappointed or annoyed </t>
  </si>
  <si>
    <t>rave</t>
  </si>
  <si>
    <t xml:space="preserve">about sb/sth to talk or write about sth in a very enthusiastic way 
 at sb to shout in a loud and emotional way at sb because you are angry with them 
</t>
  </si>
  <si>
    <t>menace</t>
  </si>
  <si>
    <t xml:space="preserve">usually [sing.] ~ to sb/sth a person or thing that causes, or may cause, serious damage, harm or danger 
an atmosphere that makes you feel threatened or frightened </t>
  </si>
  <si>
    <t>devour</t>
  </si>
  <si>
    <t xml:space="preserve">to eat all of sth quickly, especially because you are very hungry </t>
  </si>
  <si>
    <t>eyesore</t>
  </si>
  <si>
    <t xml:space="preserve">a building, an object, etc. that is unpleasant to look at </t>
  </si>
  <si>
    <t>delve</t>
  </si>
  <si>
    <t xml:space="preserve"> to search for sth inside a bag, container, etc. </t>
  </si>
  <si>
    <t xml:space="preserve">moving, reacting or working more slowly than normal and in a way that seems lazy </t>
  </si>
  <si>
    <t xml:space="preserve">coming or happening late </t>
  </si>
  <si>
    <t>barb</t>
  </si>
  <si>
    <t xml:space="preserve">1. the point of an arrow or a hook that is curved backwards to make it difficult to pull out 
2. a remark that is meant to hurt sb’s feelings ull out </t>
  </si>
  <si>
    <t>stem</t>
  </si>
  <si>
    <t xml:space="preserve">the main long thin part of a plant above the ground from which the leaves or flowers grow; a smaller part that grows from this and supports flowers or leaves 
</t>
  </si>
  <si>
    <t>unscrupulous</t>
  </si>
  <si>
    <t xml:space="preserve">without moral principles; not honest or fair </t>
  </si>
  <si>
    <t>peddle</t>
  </si>
  <si>
    <t xml:space="preserve">1. to try to sell goods by going from house to house or from place to place 
2. to spread an idea or story in order to get people to accept it </t>
  </si>
  <si>
    <t>tender</t>
  </si>
  <si>
    <t xml:space="preserve">1. kind, gentle and loving 
1. a formal offer to supply goods or do work at a stated price </t>
  </si>
  <si>
    <t xml:space="preserve">0. (informal) an unpleasant situation or event that causes problems for sb/sth </t>
  </si>
  <si>
    <t>fluff</t>
  </si>
  <si>
    <t xml:space="preserve">1. BrE small pieces of wool, cotton, etc. that gather on clothes and other surfaces 
2. soft animal fur or bird feathers, that is found especially on young animals or birds 
3. (informal) especially NAmE entertainment that is not serious and is not considered to have great value </t>
  </si>
  <si>
    <t>snappy</t>
  </si>
  <si>
    <t xml:space="preserve">1. (of a remark, title, etc.) clever or amusing and short </t>
  </si>
  <si>
    <t xml:space="preserve">1. (of a person or an object) big and heavy 
Her brothers were both hefty men in their forties.  
2. (of an amount of money) large; larger than usual or expected 
They sold it easily and made a hefty profit.  
3. using a lot of force 
He gave the door a hefty kick.  </t>
  </si>
  <si>
    <t>fanfare</t>
  </si>
  <si>
    <t xml:space="preserve">1. C a short loud piece of music that is played to celebrate sb/sth important arriving </t>
  </si>
  <si>
    <t>amass</t>
  </si>
  <si>
    <t xml:space="preserve">0. [vn] to collect sth, especially in large quantities </t>
  </si>
  <si>
    <t>in vitro</t>
  </si>
  <si>
    <t>of processes taking place outside a living body, in scientific apparatus
in vitro fertilization = 체외수정</t>
  </si>
  <si>
    <t xml:space="preserve">to support sth that you think is right and make sure that it continues to exist 
</t>
  </si>
  <si>
    <t>eschew</t>
  </si>
  <si>
    <t xml:space="preserve">to deliberately avoid or keep away from sth </t>
  </si>
  <si>
    <t>arbitrage</t>
  </si>
  <si>
    <t xml:space="preserve">[business] the practice of buying sth (for example, shares or foreign money) in one place and selling it in another place where the price is higher </t>
  </si>
  <si>
    <t>trillion</t>
  </si>
  <si>
    <t>1조</t>
  </si>
  <si>
    <t>denominate</t>
  </si>
  <si>
    <t xml:space="preserve">1. [vn] to express an amount of money using a particular unit 
The loan was denominated in US dollars.  
2. [vnn] (formal) ~ sb as sth to give sth a particular name or description 
These payments are denominated as ‘fees’ rather than ‘salary’.  
</t>
  </si>
  <si>
    <t>denture</t>
  </si>
  <si>
    <t>artificial teeth on a thin piece of plastic (= a (= a plate), worn by sb who no longer has all their own teeth</t>
  </si>
  <si>
    <t>snap</t>
  </si>
  <si>
    <t xml:space="preserve">6. [v] to be unable to control your 
any longer because the situation has become too difficult 
;break;
2. [+adv./prep.] to move, or to move sth, into a particular position quickly, especially with a sudden sharp noise </t>
  </si>
  <si>
    <t>downplay</t>
  </si>
  <si>
    <t xml:space="preserve">0. [vn] to make people think that sth is less important than it really is </t>
  </si>
  <si>
    <t xml:space="preserve">cramped </t>
  </si>
  <si>
    <t xml:space="preserve">overcrowded; closed in. </t>
  </si>
  <si>
    <t>suppress</t>
  </si>
  <si>
    <t xml:space="preserve">1. to hold back or restrain (feelings, laughter, a yawn, etc). 2. to put a stop to something. </t>
  </si>
  <si>
    <t xml:space="preserve">scam </t>
  </si>
  <si>
    <t xml:space="preserve">1. 신용 사기, 계획 도산. 2. 정보; 소문. </t>
  </si>
  <si>
    <t>decency</t>
  </si>
  <si>
    <t xml:space="preserve">1.  남부끄럽잖음; 체면; 체면을 유지함. 2.  (언행이) 예의바름, 예절에 맞음, 품위 있음. 3. (the -cies) 예의 범절, 예절; 남부끄럽잖은 생활[행위]에 필요한 것. 4.  친절, 관대. </t>
  </si>
  <si>
    <t>disperse</t>
  </si>
  <si>
    <t xml:space="preserve">1. …을 흩어지게 하다, 분산시키다, 산개시키다. ~ the crowd 군중을 흩어지게 하다. 
2. 〔전단 따위〕를 뿌리다, 살포하다; 〔지식 따위〕를 퍼뜨리다, 보급하다. ~ knowledge 지식을 보급하다. </t>
  </si>
  <si>
    <t>stratgems</t>
  </si>
  <si>
    <t>lavish</t>
  </si>
  <si>
    <t xml:space="preserve">large in amount, or impressive, and usually costing a lot of money;1 아끼지 않는   2 아낌없이주다, 낭비하다  </t>
  </si>
  <si>
    <t>rift</t>
  </si>
  <si>
    <t>a serious disagreement between people that stops their relationship from continuing</t>
  </si>
  <si>
    <t>belittle</t>
  </si>
  <si>
    <t>to make sb or the things that sb does seem unimportant</t>
  </si>
  <si>
    <t>boisterous</t>
  </si>
  <si>
    <t>of people, animals or behaviour noisy and full of life and energy</t>
  </si>
  <si>
    <t>complacent</t>
  </si>
  <si>
    <t>too satisfied with yourself or with a situation, so that you do not feel that any change is necessary</t>
  </si>
  <si>
    <t>reimburse</t>
  </si>
  <si>
    <t>to pay back money to sb which they have spent or lost</t>
  </si>
  <si>
    <t>adamant</t>
  </si>
  <si>
    <t>determined not to change your mind or to be persuaded about sth</t>
  </si>
  <si>
    <t>to tell sb officially that you do not approve of them or their actions; 질책하다</t>
  </si>
  <si>
    <t>subordinate</t>
  </si>
  <si>
    <t>having less power or authority than sb else in a group or an organization</t>
  </si>
  <si>
    <t>euthanasia</t>
  </si>
  <si>
    <t>the practice (illegal in most countries) of killing without pain a person who is suffering from a disease that cannot be cured</t>
  </si>
  <si>
    <t>ire</t>
  </si>
  <si>
    <t>anger</t>
  </si>
  <si>
    <t>breach</t>
  </si>
  <si>
    <t xml:space="preserve">a failure to do sth that must be done by law; 틈,구멍,위반
</t>
  </si>
  <si>
    <t xml:space="preserve"> demeanor</t>
  </si>
  <si>
    <t xml:space="preserve">처신, 태도  </t>
  </si>
  <si>
    <t>allude</t>
  </si>
  <si>
    <t>something that is said or written that refers to or mentions another person or subject in an indirect way (=(= alludes to it)
: 암시하다, 언급하다</t>
  </si>
  <si>
    <t>stymie</t>
  </si>
  <si>
    <t>to prevent sb from doing sth that they have planned or want to do
; 곤경,난처한 상태, 방해하다.</t>
  </si>
  <si>
    <t>arduous</t>
  </si>
  <si>
    <t>involving a lot of effort and energy, especially over a period of time</t>
  </si>
  <si>
    <t>the quality of being true;진실, 진상</t>
  </si>
  <si>
    <t>primeval</t>
  </si>
  <si>
    <t>from the earliest period of the history of the world, very ancient</t>
  </si>
  <si>
    <t>indulgence</t>
  </si>
  <si>
    <t>1. the state or act of having or doing whatever you want
1. the habit of allowing someone to do or have what they want
ex - His indulgence to his children was bad for them.
2. something in which someone INDULGES. 
ex - Sweets are my only indulgences</t>
  </si>
  <si>
    <t>legally blonde</t>
  </si>
  <si>
    <t>공식적으로 머리가 나쁘다고 인정받은</t>
  </si>
  <si>
    <t>I'll make him an offer he can't refuse</t>
  </si>
  <si>
    <t>거절할수 없는 제안을 해야 겠군</t>
  </si>
  <si>
    <t>show me the money</t>
  </si>
  <si>
    <t>큰돈을 벌게 해줘</t>
  </si>
  <si>
    <t>dead president</t>
  </si>
  <si>
    <t>미국 달러 지폐</t>
  </si>
  <si>
    <t>plain clothes</t>
  </si>
  <si>
    <t>사복경찰</t>
  </si>
  <si>
    <t>cock and bull story</t>
  </si>
  <si>
    <t>허풍, 황당한 이야기</t>
  </si>
  <si>
    <t>고통을 참고 견뎌라</t>
  </si>
  <si>
    <t>blue streak</t>
  </si>
  <si>
    <t>전광석화</t>
  </si>
  <si>
    <t>Carnal knowledege</t>
  </si>
  <si>
    <t>육욕, 섹스</t>
  </si>
  <si>
    <t>Cold Turkey</t>
  </si>
  <si>
    <t>단칼에, 갑자기</t>
  </si>
  <si>
    <t>Conversation pieces</t>
  </si>
  <si>
    <t>화제가 되는 물건</t>
  </si>
  <si>
    <t>Cry uncle</t>
  </si>
  <si>
    <t>졌다고 말해! 인정해!</t>
  </si>
  <si>
    <t>Cry Wolf</t>
  </si>
  <si>
    <t>거짓 경보</t>
  </si>
  <si>
    <t>Devil's Advocate</t>
  </si>
  <si>
    <t>토론에서 반대의견을 갖고 꼬치 꼬치 물고 늘어지는 사람</t>
  </si>
  <si>
    <t>Duck soup</t>
  </si>
  <si>
    <t>누워서 떡먹기</t>
  </si>
  <si>
    <t>The Family jewels</t>
  </si>
  <si>
    <t>고환</t>
  </si>
  <si>
    <t>First Blood</t>
  </si>
  <si>
    <t>상대를 먼저 건드려 기죽이기 또는 시비걸기</t>
  </si>
  <si>
    <t>funny farm</t>
  </si>
  <si>
    <t>정신병원</t>
  </si>
  <si>
    <t>going bananas</t>
  </si>
  <si>
    <t>흥분함, 잔뜩 골이남</t>
  </si>
  <si>
    <t>Gravy Train</t>
  </si>
  <si>
    <t>힘안들이고 돈많이 버는 일자리나 그런돈</t>
  </si>
  <si>
    <t>Horse Feathers</t>
  </si>
  <si>
    <t>엉터리, 넌센스</t>
  </si>
  <si>
    <t>It runs in the family</t>
  </si>
  <si>
    <t>그건 집안 유전이야</t>
  </si>
  <si>
    <t>Johnny-come-lately</t>
  </si>
  <si>
    <t>신참, 신출내기</t>
  </si>
  <si>
    <t>Long shot</t>
  </si>
  <si>
    <t>가능성없는 시도</t>
  </si>
  <si>
    <t>Look who's talking</t>
  </si>
  <si>
    <t>사돈 남말하고 있군</t>
  </si>
  <si>
    <t>Loose Cannons</t>
  </si>
  <si>
    <t>못말리는녀석</t>
  </si>
  <si>
    <t>Money talks</t>
  </si>
  <si>
    <t>돈이면 다된다</t>
  </si>
  <si>
    <t>Monkey business</t>
  </si>
  <si>
    <t>사기, 협잡</t>
  </si>
  <si>
    <t>Nick of time</t>
  </si>
  <si>
    <t>제때에, 때마침</t>
  </si>
  <si>
    <t>Nobody's Fool</t>
  </si>
  <si>
    <t>만만치 않은 녀석</t>
  </si>
  <si>
    <t>On the Loose</t>
  </si>
  <si>
    <t>자유로운</t>
  </si>
  <si>
    <t>Pie in the sky</t>
  </si>
  <si>
    <t>그림의 떡</t>
  </si>
  <si>
    <t>Plan B</t>
  </si>
  <si>
    <t>대안</t>
  </si>
  <si>
    <t>Poetic Justice</t>
  </si>
  <si>
    <t>권선징악</t>
  </si>
  <si>
    <t>port of call</t>
  </si>
  <si>
    <t>자주 들르는곳</t>
  </si>
  <si>
    <t>Prime cut</t>
  </si>
  <si>
    <t>고기의 최고 맛있는 부위</t>
  </si>
  <si>
    <t>The quick and the dead</t>
  </si>
  <si>
    <t>산자와 죽은자</t>
  </si>
  <si>
    <t>Raw Deal</t>
  </si>
  <si>
    <t>푸대접, 부당한 취급</t>
  </si>
  <si>
    <t>The Real McCoy</t>
  </si>
  <si>
    <t>원조, 진짜</t>
  </si>
  <si>
    <t>Silver Bullet</t>
  </si>
  <si>
    <t>묘책, 획기적인 해결책</t>
  </si>
  <si>
    <t>Skid row</t>
  </si>
  <si>
    <t>우범지대, 빈민들이 돌아다니는 거리</t>
  </si>
  <si>
    <t>Stag party</t>
  </si>
  <si>
    <t>남자들만의 파티</t>
  </si>
  <si>
    <t>Hen party</t>
  </si>
  <si>
    <t>여자들만의 파티</t>
  </si>
  <si>
    <t>Straight shooter</t>
  </si>
  <si>
    <t>정직한 사람, 모범생</t>
  </si>
  <si>
    <t>Tall Story</t>
  </si>
  <si>
    <t>믿을수 없는 이야기, 허풍</t>
  </si>
  <si>
    <t>Wag the dog</t>
  </si>
  <si>
    <t>주객전도</t>
  </si>
  <si>
    <t>I've got butterflies in my stomach</t>
  </si>
  <si>
    <t>나의 가슴이 두근 두근 거려요</t>
  </si>
  <si>
    <t>The whole nine yards</t>
  </si>
  <si>
    <t>왕대박, 엄청난 행운</t>
  </si>
  <si>
    <t>Let me go for the whole nine yards</t>
  </si>
  <si>
    <t>풀옵션으로 사겠다</t>
  </si>
  <si>
    <t>she is dressed to the nines</t>
  </si>
  <si>
    <t>그녀는 제대로 차려 입었다</t>
  </si>
  <si>
    <t>Cat has nine lives</t>
  </si>
  <si>
    <t>고양이는 생명력이 길다</t>
  </si>
  <si>
    <t>Cloud nine</t>
  </si>
  <si>
    <t>더없이 행복하고 즐거운 상태</t>
  </si>
  <si>
    <t>Thas's the way the cookie crumbles</t>
  </si>
  <si>
    <t>사는게 다 그렇지 뭐</t>
  </si>
  <si>
    <t>May - December(November,October) marriage</t>
  </si>
  <si>
    <t>도둑놈 결혼( 20대여성, 60대 신랑)</t>
  </si>
  <si>
    <t>Get a life</t>
  </si>
  <si>
    <t>철좀 들어라, 새로운 삶을 즐기라</t>
  </si>
  <si>
    <t>Potato</t>
  </si>
  <si>
    <t>못생긴 사람</t>
  </si>
  <si>
    <t>Cherry</t>
  </si>
  <si>
    <t>초심자( cherry boy- 숫총각)</t>
  </si>
  <si>
    <t>P.S</t>
  </si>
  <si>
    <t>postscript 추진, 책의 후문</t>
  </si>
  <si>
    <t>RSVP</t>
  </si>
  <si>
    <t>Respond, please</t>
  </si>
  <si>
    <t>What's your beef?</t>
  </si>
  <si>
    <t>불만사항이 뭐죠</t>
  </si>
  <si>
    <t>Beef session</t>
  </si>
  <si>
    <t>불만사항을 말하고 해결책을 찾는 간담회</t>
  </si>
  <si>
    <t>It's all in a day's work</t>
  </si>
  <si>
    <t>있을수 있는 애기구먼, 뭐 그럴수도 있겠네</t>
  </si>
  <si>
    <t>Passion week</t>
  </si>
  <si>
    <t>고난주일</t>
  </si>
  <si>
    <t>Over ( 무전기 교신 )</t>
  </si>
  <si>
    <t>내말이 끝났으니 응답하라</t>
  </si>
  <si>
    <t>Roger( 무전기 교신)</t>
  </si>
  <si>
    <t>무슨말인지 이해했다</t>
  </si>
  <si>
    <t>persona non grata</t>
  </si>
  <si>
    <t>기피인물</t>
  </si>
  <si>
    <t>ad hoc</t>
  </si>
  <si>
    <t>특별한</t>
  </si>
  <si>
    <t>alter ego</t>
  </si>
  <si>
    <t>분신</t>
  </si>
  <si>
    <t>modus vivendi</t>
  </si>
  <si>
    <t>서로의 다른 생활 방식을 이해하고 인정한다는 협정</t>
  </si>
  <si>
    <t>vice versa</t>
  </si>
  <si>
    <t>거꾸로도 마찬가지</t>
  </si>
  <si>
    <t>per se</t>
  </si>
  <si>
    <t>그자체로, 본질적으로</t>
  </si>
  <si>
    <t>bona fide</t>
  </si>
  <si>
    <t>선의의, 진실한</t>
  </si>
  <si>
    <t>quid pro quo</t>
  </si>
  <si>
    <t>응분의 보복</t>
  </si>
  <si>
    <t>mea culpa</t>
  </si>
  <si>
    <t>내잘못으로</t>
  </si>
  <si>
    <t>buster</t>
  </si>
  <si>
    <t>이봐, 아가</t>
  </si>
  <si>
    <t>Shin</t>
  </si>
  <si>
    <t>정강이</t>
  </si>
  <si>
    <t>Bruised</t>
  </si>
  <si>
    <t>멍든</t>
  </si>
  <si>
    <t>limp</t>
  </si>
  <si>
    <t>절뚝거림</t>
  </si>
  <si>
    <t>There you are</t>
  </si>
  <si>
    <t>여기 있었군요</t>
  </si>
  <si>
    <t>Throw a person off track</t>
  </si>
  <si>
    <t>남을 따돌리다</t>
  </si>
  <si>
    <t>dumbass</t>
  </si>
  <si>
    <t>바보 멍청이</t>
  </si>
  <si>
    <t>Why are you in such a hurry?</t>
  </si>
  <si>
    <t>뭐가 그리 급해</t>
  </si>
  <si>
    <t>inconsiderate</t>
  </si>
  <si>
    <t>경솔한, 성급한</t>
  </si>
  <si>
    <t>hang in</t>
  </si>
  <si>
    <t>견디다</t>
  </si>
  <si>
    <t>bastard</t>
  </si>
  <si>
    <t>새끼,녀석</t>
  </si>
  <si>
    <t>cakewalk</t>
  </si>
  <si>
    <t>간단한일, 쉬운일</t>
  </si>
  <si>
    <t>Two birds, one stone</t>
  </si>
  <si>
    <t>일석이조</t>
  </si>
  <si>
    <t>despicable</t>
  </si>
  <si>
    <t>치사한,비열한</t>
  </si>
  <si>
    <t>snob</t>
  </si>
  <si>
    <t>신사인체하는 속물</t>
  </si>
  <si>
    <t>Collect on delivery</t>
  </si>
  <si>
    <t>착불( Cash on delivery )</t>
  </si>
  <si>
    <t>deceased</t>
  </si>
  <si>
    <t>사망한, 고~</t>
  </si>
  <si>
    <t xml:space="preserve">grudge </t>
  </si>
  <si>
    <t>원한, 악의, 유감</t>
  </si>
  <si>
    <t>imprudent</t>
  </si>
  <si>
    <t>경솔한, 무모한</t>
  </si>
  <si>
    <t>Let's get to the point</t>
  </si>
  <si>
    <t>본론으로 들어가자</t>
  </si>
  <si>
    <t>I'm gonna give them a piece of my mind</t>
  </si>
  <si>
    <t>확실히 따져야 겠어</t>
  </si>
  <si>
    <t>Freeloader</t>
  </si>
  <si>
    <t>공짜로 얻어먹는 사람</t>
  </si>
  <si>
    <t>I'm letting them slide</t>
  </si>
  <si>
    <t>눈감아 주겠읍니다.</t>
  </si>
  <si>
    <t>We can't hold candle to him</t>
  </si>
  <si>
    <t>우리는 그와는 비교가 안되!~</t>
  </si>
  <si>
    <t>Allowance</t>
  </si>
  <si>
    <t>가족에게주는) 용돈</t>
  </si>
  <si>
    <t>Foul-mouthed</t>
  </si>
  <si>
    <t>욕쟁이</t>
  </si>
  <si>
    <t>Are you trying to get under someone's skin or what?</t>
  </si>
  <si>
    <t>누구 약올리는거야!</t>
  </si>
  <si>
    <t>You are letting it go to your head!</t>
  </si>
  <si>
    <t>자만하고 있구만!(눈에 뵈는게 없구만!)</t>
  </si>
  <si>
    <t>make it big</t>
  </si>
  <si>
    <t>크게 성공하다</t>
  </si>
  <si>
    <t>don't put all your eggs  in one basket</t>
  </si>
  <si>
    <t>한가지일에 모든것을 걸지마라</t>
  </si>
  <si>
    <t>tease something out</t>
  </si>
  <si>
    <t>알아내려고 애쓰다, 머리를 가지런히 하다</t>
  </si>
  <si>
    <t>retrospective</t>
  </si>
  <si>
    <t>회고하는, 소급적용되는</t>
  </si>
  <si>
    <t>prospective</t>
  </si>
  <si>
    <t>장래의, 유망한, 곧있을</t>
  </si>
  <si>
    <t>the tortoise beats the hare</t>
  </si>
  <si>
    <t>거북이가 토끼를 이긴다.. (꾸준한게 이긴다)</t>
  </si>
  <si>
    <t>명예퇴직</t>
  </si>
  <si>
    <t>professor emeritus</t>
  </si>
  <si>
    <t>명예교수</t>
  </si>
  <si>
    <t>laureate</t>
  </si>
  <si>
    <t>월계관을쓴, 뛰어난, 수상자</t>
  </si>
  <si>
    <t>nobel laurates</t>
  </si>
  <si>
    <t>노벨상 수상자</t>
  </si>
  <si>
    <t>discipline</t>
  </si>
  <si>
    <t>지식분야, 학과목</t>
  </si>
  <si>
    <t>pinnacle</t>
  </si>
  <si>
    <t>절정, 정점</t>
  </si>
  <si>
    <t>stay off</t>
  </si>
  <si>
    <t>삼가다, 멀리하다</t>
  </si>
  <si>
    <t>late bloomer</t>
  </si>
  <si>
    <t>대기만성형 사람</t>
  </si>
  <si>
    <t>child prodigy</t>
  </si>
  <si>
    <t>신동, 천재아</t>
  </si>
  <si>
    <t>six-figure bonuses</t>
  </si>
  <si>
    <t>6자리수 보너스, 몇십만불 보너스</t>
  </si>
  <si>
    <t>walk away</t>
  </si>
  <si>
    <t>떠나다, 손을 떼다</t>
  </si>
  <si>
    <t>blow past</t>
  </si>
  <si>
    <t>빠르게 앞서다, 지나치다</t>
  </si>
  <si>
    <t>We blew right past</t>
  </si>
  <si>
    <t>우리는 목적지를 완전히 지나쳤다</t>
  </si>
  <si>
    <t>sad sack</t>
  </si>
  <si>
    <t>형편없는 오두막, 허름한 오두막</t>
  </si>
  <si>
    <t>retaining wall</t>
  </si>
  <si>
    <t>축대</t>
  </si>
  <si>
    <t>staggering</t>
  </si>
  <si>
    <t>믿기어려운, 충격적인</t>
  </si>
  <si>
    <t>stay vigilant</t>
  </si>
  <si>
    <t>경계를 늦추지 않다</t>
  </si>
  <si>
    <t>jolt</t>
  </si>
  <si>
    <t>갑자기 세게 흔들다</t>
  </si>
  <si>
    <t>It is so easy to talk to you</t>
  </si>
  <si>
    <t>너와 애기하는것은 정말 편해(comfortable)</t>
  </si>
  <si>
    <t>I don't have a shoulder to lean on</t>
  </si>
  <si>
    <t>I don't have anyone who support me</t>
  </si>
  <si>
    <t>you are hunching over again at your laptop</t>
  </si>
  <si>
    <t>또 노트북에 구부정하게 앉아있네</t>
  </si>
  <si>
    <t>thanks for pointing it out</t>
  </si>
  <si>
    <t>지적해줘서 고마워</t>
  </si>
  <si>
    <t>mix things up</t>
  </si>
  <si>
    <t>변화를 주다</t>
  </si>
  <si>
    <t>try to put it in perspective</t>
  </si>
  <si>
    <t>객관적으로 바라보도록 해</t>
  </si>
  <si>
    <t>You were investing in stocks.. you really thought a stock
was going to do well. so you put a lot of money
and then it what we say tank it goes to zero.
you just have to take it on the chin</t>
  </si>
  <si>
    <t>take it one the chin. 받아들이다, 감수하다</t>
  </si>
  <si>
    <t>you don't know what life is gonna bring your way</t>
  </si>
  <si>
    <t xml:space="preserve">He got a new job and is back on his feet </t>
  </si>
  <si>
    <t>be back on one's feet 다시 일어서다, 재기하다</t>
  </si>
  <si>
    <t>It is sad that there are children who go to bed hungry</t>
  </si>
  <si>
    <t>It is wild</t>
  </si>
  <si>
    <t>놀랍다.</t>
  </si>
  <si>
    <t>I am ready to turn over a new leaf and 
make some positive changes</t>
  </si>
  <si>
    <t>turn over a new leaf 새 사람이 되다.</t>
  </si>
  <si>
    <t>I am good with my current leaf</t>
  </si>
  <si>
    <t>지금 생활에 만족해</t>
  </si>
  <si>
    <t>you should steer clear of the alley or scams online</t>
  </si>
  <si>
    <t>steer clear of 피하다, 멀리하다</t>
  </si>
  <si>
    <t>you should steer clear of dairy,
you don't want to eat milk products,
because they make your tummy hurt,
they make your stomach growl</t>
  </si>
  <si>
    <t>Don't be shy. go ahead and eat your fill of the pasta</t>
  </si>
  <si>
    <t>eat one's fill 마음껏 먹다</t>
  </si>
  <si>
    <t>nibble</t>
  </si>
  <si>
    <t>조금씩 먹다</t>
  </si>
  <si>
    <t>eat like a bird</t>
  </si>
  <si>
    <t>조금만 먹다</t>
  </si>
  <si>
    <t>callus</t>
  </si>
  <si>
    <t>못 (굳은살) 
I have calluses on my palm.</t>
  </si>
  <si>
    <t>The project didn't measure up to expectation</t>
  </si>
  <si>
    <t>measure up : 부합하다, 기대를 충족시키다</t>
  </si>
  <si>
    <t>I don't measure up to you</t>
  </si>
  <si>
    <t>I am not good for you or
your expectations are too high</t>
  </si>
  <si>
    <t>Do you think the boss is playing favorite</t>
  </si>
  <si>
    <t>play favorites : 편애하다</t>
  </si>
  <si>
    <t>she runs office strictly by the book</t>
  </si>
  <si>
    <t>by the book : 규정대로</t>
  </si>
  <si>
    <t>Are those new shoes comfy yet?</t>
  </si>
  <si>
    <t>Comfy 편한</t>
  </si>
  <si>
    <t>My jeans felt stiff until I broke them in.</t>
  </si>
  <si>
    <t>break in : 길들이다</t>
  </si>
  <si>
    <t>You can't think about 40 km at 2 km. 
Just take it one step at a time. 
One foot in front of the other</t>
  </si>
  <si>
    <t>take it step by step 한단계씩 진행하다</t>
  </si>
  <si>
    <t>yoga really work wonders for me</t>
  </si>
  <si>
    <t>work wonders :기적같은 효과를 내다</t>
  </si>
  <si>
    <t>It is amazing what a little discipline can do for you</t>
  </si>
  <si>
    <t>It is amazing what you can accomplish when 
you don't give up</t>
  </si>
  <si>
    <t>Food has a way of getting people to come together</t>
  </si>
  <si>
    <t>Jill has a way of making eveyone feel special</t>
  </si>
  <si>
    <t>I want my project to really stand apart from others</t>
  </si>
  <si>
    <t>stand apart :  구별되다,, 차별화되다</t>
  </si>
  <si>
    <t>Focus on originality and highlight your personal touch</t>
  </si>
  <si>
    <t>The plan isn't working.
Let's make adjustments</t>
  </si>
  <si>
    <t>make adjustments 조정하다</t>
  </si>
  <si>
    <t>The doctor managed to pin down the issue</t>
  </si>
  <si>
    <t>Pin down 정확히 집어내다, 분명하게 정의하다</t>
  </si>
  <si>
    <t>shoe insert</t>
  </si>
  <si>
    <t>Your feets are supposed to be warm.
but your hands are supposed to be cool</t>
  </si>
  <si>
    <t>The committee is made up of teachers and parents</t>
  </si>
  <si>
    <t>be made up of ~로 구성된다.(원본은 유지</t>
  </si>
  <si>
    <t>This shirt is made from cotton</t>
  </si>
  <si>
    <t>be made from ~ 로 만들어지다( 원본은 없어짐)</t>
  </si>
  <si>
    <t>cold can creep in when maybe you accidentally 
left window open</t>
  </si>
  <si>
    <t>창문을 실수로 열어둔채로 두면 감기가 조금씩 스며든다.
creep in 조금씩 스며들다</t>
  </si>
  <si>
    <t>She works hard to stay on top of her school assignments</t>
  </si>
  <si>
    <t>Stay on top of ~ 을 철저히 관리하다, 잘 파악하고 있다</t>
  </si>
  <si>
    <t>Left untreated, the tooth will have to be removed</t>
  </si>
  <si>
    <t>left untreated 치료하지 않고 방치하면</t>
  </si>
  <si>
    <t>You are really top of it</t>
  </si>
  <si>
    <t>You are really organized or well prepared</t>
  </si>
  <si>
    <t>bright eyed and bushy tail</t>
  </si>
  <si>
    <t>기운이 넘치고 의욕이 넘침</t>
  </si>
  <si>
    <t>The teacher singled me out for forgetting my homework</t>
  </si>
  <si>
    <t>single out : 지목하다, 지적하다</t>
  </si>
  <si>
    <t>We came up short on supplies for the event.
Then we will have to make a quick store run</t>
  </si>
  <si>
    <t>come up short : 부족하다</t>
  </si>
  <si>
    <t>What happened at the morning meeting. I am out of the loop.
I'll fill you in over lunch</t>
  </si>
  <si>
    <t>out of the loop : 잘 모르는, 소식에 뒤쳐진</t>
  </si>
  <si>
    <t>The stew really hit the spot on winter evening.</t>
  </si>
  <si>
    <t>hit the spot 원하는 딱 그것이다</t>
  </si>
  <si>
    <t>This cup of coffee is full to the brim. Careful not to spill
Don't worry. I'll sip some off the top before I move it</t>
  </si>
  <si>
    <t>full to. the brim 넘칠만큼 가득한</t>
  </si>
  <si>
    <t>indecisive</t>
  </si>
  <si>
    <t>우유부단한</t>
  </si>
  <si>
    <t>you are procrastinating for long time</t>
  </si>
  <si>
    <t>procrastinate - 시간을 질질끌다</t>
  </si>
  <si>
    <t>procrastinate</t>
  </si>
  <si>
    <t>시간을 질질끌다</t>
  </si>
  <si>
    <t>Unfathomable</t>
  </si>
  <si>
    <t>이해할수 없는 - unimaginable</t>
  </si>
  <si>
    <t>Don't waste your energy</t>
  </si>
  <si>
    <t>힘빼지마</t>
  </si>
  <si>
    <t>Are you all set to go?</t>
  </si>
  <si>
    <t>나갈 준비 다 됐어?</t>
  </si>
  <si>
    <t xml:space="preserve">Like it or not </t>
  </si>
  <si>
    <t>좋든 싫든</t>
  </si>
  <si>
    <t>I feel stuffy</t>
  </si>
  <si>
    <t>답답해</t>
  </si>
  <si>
    <t>You deserve to be punished</t>
  </si>
  <si>
    <t xml:space="preserve">너 벌 받을만해 </t>
  </si>
  <si>
    <t>I make good money</t>
  </si>
  <si>
    <t>나 돈 잘벌어</t>
  </si>
  <si>
    <t>He is honest to a fault</t>
  </si>
  <si>
    <t>그는 융통성이 없을 정도로 정직해. 
(너무 솔직해서 탈이야.) 
To a fault - "지나칠 정도로", **"결점이 될 만큼</t>
  </si>
  <si>
    <t>My grandmother is generous to a fault; 
she gives away almost everything she owns</t>
  </si>
  <si>
    <t>우리 할머니는 지나칠 정도로 관대하셔. 
가진 걸 거의 다 남에게 주실 정도니까.
To a fault - "지나칠 정도로", **"결점이 될 만큼</t>
  </si>
  <si>
    <t>You are too smart for your own good.</t>
  </si>
  <si>
    <t>넌 너무 똑똑해서 탈이야. 
**"Too [adjective] for your own good"**은 to a fault와 의미가 매우 비슷하지만, "그 성격 때문에 너 자신이 다치거나 손해를 보게 될 거야"라는 경고나 걱정의 뉘앙스</t>
  </si>
  <si>
    <t>She is too nice for her own good. People always take advantage of her.</t>
  </si>
  <si>
    <t>그녀는 본인에게 해가 될 정도로 너무 착해. 사람들이 항상 그녀를 이용해 먹잖아</t>
  </si>
  <si>
    <t>I am nervous about taking the reins in the sales meeting.
You've prepared well. - It is your moment to shine</t>
  </si>
  <si>
    <t>Take the reins. 통솔하다. 지휘하다</t>
  </si>
  <si>
    <t>It feels strange to be calling the shots now.
You'll get used to it - Confidence comes with practice</t>
  </si>
  <si>
    <t>Call the shots. 결정권이 있다. 통제권을 행사하다</t>
  </si>
  <si>
    <t>하고싶은대로함, 사치. 관용, 너그러움</t>
  </si>
  <si>
    <t>Self-indulgence</t>
  </si>
  <si>
    <t>제멋대로 함</t>
  </si>
  <si>
    <t>Eating chocolate is my favorite indulgence</t>
  </si>
  <si>
    <t>indulgence - 사치, 즐거움, 관용</t>
  </si>
  <si>
    <t>We ask for your indulgence while we update our system</t>
  </si>
  <si>
    <t>Immerse the cloth in boiling water</t>
  </si>
  <si>
    <t>immerse - 푹 담그다, 몰입하다, 전념하다</t>
  </si>
  <si>
    <t>I am so immersed in the book that I forgot the time</t>
  </si>
  <si>
    <t>I have been slacking off</t>
  </si>
  <si>
    <t>나 좀 나태해졌어</t>
  </si>
  <si>
    <t>what do you take me for?</t>
  </si>
  <si>
    <t>날 뭘로 보는거야</t>
  </si>
  <si>
    <t>I don't buy it</t>
  </si>
  <si>
    <t>안속아(안믿어)</t>
  </si>
  <si>
    <t>stop horsing around</t>
  </si>
  <si>
    <t>야단 떨지마</t>
  </si>
  <si>
    <t>We just clicked</t>
  </si>
  <si>
    <t>우린 잘 통해</t>
  </si>
  <si>
    <t>You are so predictable</t>
  </si>
  <si>
    <t>넌 너무 뻔해</t>
  </si>
  <si>
    <t>Just let it slide</t>
  </si>
  <si>
    <t>그냥 넘어가</t>
  </si>
  <si>
    <t>Just so you know</t>
  </si>
  <si>
    <t>참고로 말하는데</t>
  </si>
  <si>
    <t>Cut the crap</t>
  </si>
  <si>
    <t>헛소리 그만해</t>
  </si>
  <si>
    <t>He has cool cheek</t>
  </si>
  <si>
    <t>갠 아주 뻔뻔해</t>
  </si>
  <si>
    <t>I don't deserve you</t>
  </si>
  <si>
    <t>넌 내게 과분해</t>
  </si>
  <si>
    <t>He is all mouth</t>
  </si>
  <si>
    <t>그는 말뿐이에요</t>
  </si>
  <si>
    <t>This is better than nothing</t>
  </si>
  <si>
    <t>이정도가 어디야</t>
  </si>
  <si>
    <t>You are the boss</t>
  </si>
  <si>
    <t>너 맘대로 해</t>
  </si>
  <si>
    <t>Leave it at that</t>
  </si>
  <si>
    <t>그냥 둬</t>
  </si>
  <si>
    <t>By all means</t>
  </si>
  <si>
    <t>그럼요.. 아무렴</t>
  </si>
  <si>
    <t>Scratch that</t>
  </si>
  <si>
    <t>방금한말 취소야</t>
  </si>
  <si>
    <t>It is not for everyone</t>
  </si>
  <si>
    <t>모두가 다 그런건 아니야</t>
  </si>
  <si>
    <t>Smell a rat</t>
  </si>
  <si>
    <t>뭔가 수상해</t>
  </si>
  <si>
    <t>What brings you here</t>
  </si>
  <si>
    <t>여기 웬일이세요</t>
  </si>
  <si>
    <t>It is not my thing</t>
  </si>
  <si>
    <t>I will take a rain check</t>
  </si>
  <si>
    <t>다음에 할께</t>
  </si>
  <si>
    <t>That is a given</t>
  </si>
  <si>
    <t>그건 당연한거야</t>
  </si>
  <si>
    <t>Stay out of my way</t>
  </si>
  <si>
    <t>내일 방해 하지마</t>
  </si>
  <si>
    <t>I can live with that</t>
  </si>
  <si>
    <t>When pigs fly</t>
  </si>
  <si>
    <t>그럴일 없어</t>
  </si>
  <si>
    <t>누가 할 소릴? 사돈 남말하네</t>
  </si>
  <si>
    <t>Take it from me</t>
  </si>
  <si>
    <t>내말 믿어</t>
  </si>
  <si>
    <t>Read my lips</t>
  </si>
  <si>
    <t>내말 똑바로 들어</t>
  </si>
  <si>
    <t>The elephant in the room</t>
  </si>
  <si>
    <t>말하기 불편한 주제</t>
  </si>
  <si>
    <t>This too shall pass</t>
  </si>
  <si>
    <t>이또한 지나가리</t>
  </si>
  <si>
    <t>Cross my heart</t>
  </si>
  <si>
    <t>맹세할께</t>
  </si>
  <si>
    <t>Don't get me wrong</t>
  </si>
  <si>
    <t>오해하지마</t>
  </si>
  <si>
    <t>I don't see why not</t>
  </si>
  <si>
    <t>안될게 뭐가 있겠어</t>
  </si>
  <si>
    <t>Let 's roll</t>
  </si>
  <si>
    <t>자 시작하자</t>
  </si>
  <si>
    <t>You are lost your edge</t>
  </si>
  <si>
    <t>너도 예전 같이 않구나</t>
  </si>
  <si>
    <t>Let us not rush to judgement</t>
  </si>
  <si>
    <t>성급하게 판단하지 말자</t>
  </si>
  <si>
    <t>That is rich</t>
  </si>
  <si>
    <t>어이가 없네</t>
  </si>
  <si>
    <t>I pulled some string</t>
  </si>
  <si>
    <t>빽좀 썼어</t>
  </si>
  <si>
    <t>be there or be square</t>
  </si>
  <si>
    <t>꼭와</t>
  </si>
  <si>
    <t>Don't give me that</t>
  </si>
  <si>
    <t>뻥치지 마</t>
  </si>
  <si>
    <t>Progress, not perfection</t>
  </si>
  <si>
    <t>완벽하지 않아도 되. 계속 해보자</t>
  </si>
  <si>
    <t>Comfort kills growth</t>
  </si>
  <si>
    <t>안주하면 발전이 없어</t>
  </si>
  <si>
    <t>Don't lose your drive</t>
  </si>
  <si>
    <t>의욕 잃지마</t>
  </si>
  <si>
    <t>No pressure</t>
  </si>
  <si>
    <t>부담 갖지마</t>
  </si>
  <si>
    <t>I am a little on edge</t>
  </si>
  <si>
    <t>지금 좀 예민해</t>
  </si>
  <si>
    <t>Can I tag along</t>
  </si>
  <si>
    <t>따라가도 돼?</t>
  </si>
  <si>
    <t>What do you say?</t>
  </si>
  <si>
    <t>네 생각은 어때?</t>
  </si>
  <si>
    <t>I am down for whatever</t>
  </si>
  <si>
    <t>나 뭐든 괜찮아</t>
  </si>
  <si>
    <t>Something smells fishy</t>
  </si>
  <si>
    <t>수상한데</t>
  </si>
  <si>
    <t>I kid you not</t>
  </si>
  <si>
    <t>정말이야</t>
  </si>
  <si>
    <t>I feel out of place</t>
  </si>
  <si>
    <t>뭔가 좀 어색해</t>
  </si>
  <si>
    <t>Don't flatter yourself</t>
  </si>
  <si>
    <t>자만하지마</t>
  </si>
  <si>
    <t>Why the long face?</t>
  </si>
  <si>
    <t>You are one of kind</t>
  </si>
  <si>
    <t>넌 참 독특해</t>
  </si>
  <si>
    <t>What are you getting at?</t>
  </si>
  <si>
    <t>무슨 말이 하고 싶은거야</t>
  </si>
  <si>
    <t xml:space="preserve">I am down  </t>
  </si>
  <si>
    <t>나도 찬성이야</t>
  </si>
  <si>
    <t>I will leave it up to you</t>
  </si>
  <si>
    <t>니 생각에 맡길께</t>
  </si>
  <si>
    <t>Am I a joke to you</t>
  </si>
  <si>
    <t>내가 만만해</t>
  </si>
  <si>
    <t>It kinds of grows on you</t>
  </si>
  <si>
    <t>점검 정이 가네. 좋아지네</t>
  </si>
  <si>
    <t>That doesn't hurt to ask</t>
  </si>
  <si>
    <t>물어본다고 나쁠건 없잖아</t>
  </si>
  <si>
    <t>It is for a good cause</t>
  </si>
  <si>
    <t>I am beat</t>
  </si>
  <si>
    <t>완전 피곤해</t>
  </si>
  <si>
    <t>This is so lame</t>
  </si>
  <si>
    <t>너무 별로 야</t>
  </si>
  <si>
    <t>Just keep it down</t>
  </si>
  <si>
    <t>조용히 해</t>
  </si>
  <si>
    <t>This is news to me</t>
  </si>
  <si>
    <t>처음 듣는 애기야</t>
  </si>
  <si>
    <t>Don't take it out on me</t>
  </si>
  <si>
    <t>Snap out of it</t>
  </si>
  <si>
    <t>This is to die for</t>
  </si>
  <si>
    <t>존 맛 이야</t>
  </si>
  <si>
    <t>I lost appetite</t>
  </si>
  <si>
    <t>입맛을 잃었어</t>
  </si>
  <si>
    <t>It is growing on me</t>
  </si>
  <si>
    <t>점점 마음에 들어</t>
  </si>
  <si>
    <t>What is gotten into you?</t>
  </si>
  <si>
    <t>도대체 왜 그러는거야</t>
  </si>
  <si>
    <t>Keep your distance</t>
  </si>
  <si>
    <t>가까이 오지마</t>
  </si>
  <si>
    <t>I am being framed</t>
  </si>
  <si>
    <t>누명을 쓰고 있어</t>
  </si>
  <si>
    <t>Consider it done</t>
  </si>
  <si>
    <t>맡겨만 주세요</t>
  </si>
  <si>
    <t>I said enough</t>
  </si>
  <si>
    <t>그만 하라고 했지</t>
  </si>
  <si>
    <t>It is not what it looks like</t>
  </si>
  <si>
    <t>보이는게 다가 아냐</t>
  </si>
  <si>
    <t>You went too far</t>
  </si>
  <si>
    <t>너 너무 심했어</t>
  </si>
  <si>
    <t>Is it that obvious</t>
  </si>
  <si>
    <t>그렇게 티나</t>
  </si>
  <si>
    <t>Is it that noticable?</t>
  </si>
  <si>
    <t>그렇게 티났어</t>
  </si>
  <si>
    <t>Have a heart, please</t>
  </si>
  <si>
    <t>한번만 봐줘</t>
  </si>
  <si>
    <t>Go like this</t>
  </si>
  <si>
    <t>이렇게 해봐</t>
  </si>
  <si>
    <t>How could I resist?</t>
  </si>
  <si>
    <t>어떻게 참을수가 있겠어</t>
  </si>
  <si>
    <t>Nothing to it</t>
  </si>
  <si>
    <t>간단해. 별거 아냐</t>
  </si>
  <si>
    <t>What is in it for me?</t>
  </si>
  <si>
    <t>내가 얻는건 뭐야</t>
  </si>
  <si>
    <t>Haste makes waste</t>
  </si>
  <si>
    <t>Are you pulling my leg?</t>
  </si>
  <si>
    <t>농담해</t>
  </si>
  <si>
    <t>I wish you hadn't done that</t>
  </si>
  <si>
    <t>그렇게 안했으면 좋았을것을</t>
  </si>
  <si>
    <t>Get a grip</t>
  </si>
  <si>
    <t>End of story</t>
  </si>
  <si>
    <t>애기 끝이야</t>
  </si>
  <si>
    <t>It figures</t>
  </si>
  <si>
    <t>그럴줄 알았어</t>
  </si>
  <si>
    <t>You are so mean</t>
  </si>
  <si>
    <t>No cutting</t>
  </si>
  <si>
    <t>새치기 하지마</t>
  </si>
  <si>
    <t>I couldn't agree more</t>
  </si>
  <si>
    <t>전적으로 동의해</t>
  </si>
  <si>
    <t>That's beside the point</t>
  </si>
  <si>
    <t>그게 중요한게 아냐</t>
  </si>
  <si>
    <t>I stand corrected</t>
  </si>
  <si>
    <t>제가 틀렸네요</t>
  </si>
  <si>
    <t>You are full of it</t>
  </si>
  <si>
    <t>너 허풍 떨고 있는거야</t>
  </si>
  <si>
    <t>Show me what you got</t>
  </si>
  <si>
    <t>It is expired</t>
  </si>
  <si>
    <t>유통기한이 지났어</t>
  </si>
  <si>
    <t>It is a little steep</t>
  </si>
  <si>
    <t>조금 비싸</t>
  </si>
  <si>
    <t>Level with me</t>
  </si>
  <si>
    <t>I am at your service</t>
  </si>
  <si>
    <t>I am speechless</t>
  </si>
  <si>
    <t>할말을 잃었어</t>
  </si>
  <si>
    <t>You sent for me</t>
  </si>
  <si>
    <t>저 찾으셨어요</t>
  </si>
  <si>
    <t>I couldn't care less</t>
  </si>
  <si>
    <t>신경 안써</t>
  </si>
  <si>
    <t>I can't put my finger on it</t>
  </si>
  <si>
    <t>정확히 알순 없지만</t>
  </si>
  <si>
    <t>Don't shut me out</t>
  </si>
  <si>
    <t>나를 멀리 하지마</t>
  </si>
  <si>
    <t>It will knock your socks off</t>
  </si>
  <si>
    <t>Don't go there</t>
  </si>
  <si>
    <t>그 애기는 하지마</t>
  </si>
  <si>
    <t>It doesn't ring a bell</t>
  </si>
  <si>
    <t>기억이 안나</t>
  </si>
  <si>
    <t>Shake a leg</t>
  </si>
  <si>
    <t>서둘러</t>
  </si>
  <si>
    <t>I can't help it</t>
  </si>
  <si>
    <t>나도 어쩔수 없어</t>
  </si>
  <si>
    <t>It stands to reason</t>
  </si>
  <si>
    <t>Not in a million years</t>
  </si>
  <si>
    <t>그럴일은 없을꺼야</t>
  </si>
  <si>
    <t>Two peas in a pod</t>
  </si>
  <si>
    <t>둘이 완전 닮았어</t>
  </si>
  <si>
    <t>I am under a lot of  stress</t>
  </si>
  <si>
    <t>나 스트레스를 많이 받아</t>
  </si>
  <si>
    <t>How did it go?</t>
  </si>
  <si>
    <t>let's grab a bite to eat</t>
  </si>
  <si>
    <t>뭐 좀 먹자</t>
  </si>
  <si>
    <t>As long as you are happy, that is all that matters</t>
  </si>
  <si>
    <t>네가 행복하다면 그게 중요한거지</t>
  </si>
  <si>
    <t>Doesn't ring any bells?</t>
  </si>
  <si>
    <t>뭐 떠오르는것 없어</t>
  </si>
  <si>
    <t>We are vibing</t>
  </si>
  <si>
    <t>우리 잘 맞네</t>
  </si>
  <si>
    <t>That being said</t>
  </si>
  <si>
    <t>Mark my words</t>
  </si>
  <si>
    <t>내말을 명심해</t>
  </si>
  <si>
    <t>No shop talk</t>
  </si>
  <si>
    <t>일 애기는 그만해</t>
  </si>
  <si>
    <t>Don't play innocent</t>
  </si>
  <si>
    <t>Old habits die hard</t>
  </si>
  <si>
    <t>그 버릇 어디 안가지</t>
  </si>
  <si>
    <t>What is weighing on you</t>
  </si>
  <si>
    <t>뭐가 맘에 걸리는 거야</t>
  </si>
  <si>
    <t>That's not my thing</t>
  </si>
  <si>
    <t>That was close</t>
  </si>
  <si>
    <t>아슬아슬했어</t>
  </si>
  <si>
    <t>Here's your cut</t>
  </si>
  <si>
    <t>이게 니 몫이야</t>
  </si>
  <si>
    <t>Who cares</t>
  </si>
  <si>
    <t>뭐 어때</t>
  </si>
  <si>
    <t>Don't sneak around</t>
  </si>
  <si>
    <t>몰래 돌아다니지마</t>
  </si>
  <si>
    <t>It's about time</t>
  </si>
  <si>
    <t>드디어( 그럴때도 됐지 )</t>
  </si>
  <si>
    <t>He is at large</t>
  </si>
  <si>
    <t>그는 여전히 오리무중이야</t>
  </si>
  <si>
    <t>You are all over the map</t>
  </si>
  <si>
    <t>넌 종잡을수 없어</t>
  </si>
  <si>
    <t>Not on my watch</t>
  </si>
  <si>
    <t>어림도 없어</t>
  </si>
  <si>
    <t>I'm just thinking out loud</t>
  </si>
  <si>
    <t>그냥 생각나는대로 말하는 거야</t>
  </si>
  <si>
    <t>Lighten up</t>
  </si>
  <si>
    <t>살살해</t>
  </si>
  <si>
    <t>Do I have your word?</t>
  </si>
  <si>
    <t>약속하신거죠?</t>
  </si>
  <si>
    <t>The rest is history</t>
  </si>
  <si>
    <t>나머지는 뻔하지</t>
  </si>
  <si>
    <t>It doesn't add up</t>
  </si>
  <si>
    <t>뭔가 말이 안돼</t>
  </si>
  <si>
    <t>I am sorry for your loss</t>
  </si>
  <si>
    <t>삼가 조의를 표합니다,</t>
  </si>
  <si>
    <t>The coast is clear</t>
  </si>
  <si>
    <t>지금이 기회야</t>
  </si>
  <si>
    <t>Can I drop in tomorrow?</t>
  </si>
  <si>
    <t>내일 와도 될까요?</t>
  </si>
  <si>
    <t>Are you out of your mind?</t>
  </si>
  <si>
    <t>너 미쳤어</t>
  </si>
  <si>
    <t>Hit me up</t>
  </si>
  <si>
    <t>연락해</t>
  </si>
  <si>
    <t>It doesn't have to be</t>
  </si>
  <si>
    <t>꼭 그래야 하는건 아니야</t>
  </si>
  <si>
    <t>If you say so</t>
  </si>
  <si>
    <t>니가 그렇다면야</t>
  </si>
  <si>
    <t>Beats me</t>
  </si>
  <si>
    <t>모르겠어</t>
  </si>
  <si>
    <t>I'm running on empty</t>
  </si>
  <si>
    <t>몸도 마음도 완전 지쳤어</t>
  </si>
  <si>
    <t>I need space</t>
  </si>
  <si>
    <t>혼자 있고 싶어</t>
  </si>
  <si>
    <t>I need a pep talk</t>
  </si>
  <si>
    <t>나 좀 격려해줘</t>
  </si>
  <si>
    <t>Give it a rest</t>
  </si>
  <si>
    <t>그만해</t>
  </si>
  <si>
    <t>I don't wanna impose</t>
  </si>
  <si>
    <t>민폐 끼치기 싫어</t>
  </si>
  <si>
    <t>The toilet get clogged</t>
  </si>
  <si>
    <t>Don't give me that look</t>
  </si>
  <si>
    <t>그런 눈으로 보지마</t>
  </si>
  <si>
    <t>At your own risk</t>
  </si>
  <si>
    <t>책임은 본인 몫이야</t>
  </si>
  <si>
    <r>
      <rPr>
        <rFont val="Calibri"/>
        <color theme="1"/>
        <sz val="12.0"/>
      </rPr>
      <t xml:space="preserve">F5(새로고침)을 누르면 랜덤으로 문장이 바뀝니다. </t>
    </r>
    <r>
      <rPr>
        <rFont val="Calibri"/>
        <color rgb="FFFF9900"/>
        <sz val="12.0"/>
      </rPr>
      <t>아래셀 (B4)을 지우지 마세요.</t>
    </r>
  </si>
  <si>
    <t>문장 모으기에 도움되는 GPTs (무료)</t>
  </si>
  <si>
    <t>스샘's 영작 도우미 (혼합 문장도 척척!)</t>
  </si>
  <si>
    <r>
      <rPr/>
      <t xml:space="preserve">사용방법: </t>
    </r>
    <r>
      <rPr>
        <color rgb="FF1155CC"/>
        <u/>
      </rPr>
      <t>https://blog.naver.com/walire/223715803654</t>
    </r>
    <r>
      <rPr/>
      <t xml:space="preserve"> </t>
    </r>
  </si>
  <si>
    <t>스샘's 초간편 어휘 도우미 (2, t2, dd, qq, ss, p, q)</t>
  </si>
  <si>
    <t>문장 모으기에 도움이 되는 유튜브 영상</t>
  </si>
  <si>
    <t>(통합본_1) 베이직 그래머 인 유즈 4판 듣고 따라 말하기</t>
  </si>
  <si>
    <t>(통합본_4) 베이직 그래머 인 유즈 4판 ◾ 예문 한 번 듣기 (빠른 복습용)</t>
  </si>
  <si>
    <t>(통합본_1) 스샘과 에릭의 영어문장2000 듣고 따라 말하기</t>
  </si>
  <si>
    <t>원어민들이 매일 쓰는 표현 100</t>
  </si>
  <si>
    <t>기초 동사 포함 콜로케이션 (shorts 재생목록)</t>
  </si>
  <si>
    <t>중고급자용 영상</t>
  </si>
  <si>
    <t>News Listening with Blanks (Shorts)</t>
  </si>
  <si>
    <t>Picture Description with Blanks (Shorts)</t>
  </si>
  <si>
    <t>추천 포스팅</t>
  </si>
  <si>
    <t>스샘과 에릭의 영어문장2000 통합본 2종 연습 영상 무료 공개</t>
  </si>
  <si>
    <t>베이직 그래머 인 유즈 공부법 총정리 (10가지 측면에서 고찰)</t>
  </si>
  <si>
    <t>진행 중 이벤트</t>
  </si>
  <si>
    <t>(2025.11.22) 구독자 1000명 달성 이벤트</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</si>
</sst>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2.0"/>
      <color theme="1"/>
      <name val="Malgun Gothic"/>
    </font>
    <font>
      <sz val="12.0"/>
      <color theme="1"/>
      <name val="Calibri"/>
      <scheme val="minor"/>
    </font>
    <font>
      <color theme="1"/>
      <name val="Arial"/>
    </font>
    <font>
      <sz val="12.0"/>
      <color rgb="FF7F7F7F"/>
      <name val="Malgun Gothic"/>
    </font>
    <font>
      <sz val="11.0"/>
      <color theme="1"/>
      <name val="Aptos Narrow"/>
    </font>
    <font>
      <sz val="11.0"/>
      <color theme="1"/>
      <name val="Arial"/>
    </font>
    <font>
      <b/>
      <color theme="1"/>
      <name val="Arial"/>
    </font>
    <font>
      <b/>
      <sz val="12.0"/>
      <color theme="1"/>
      <name val="Arial"/>
    </font>
    <font>
      <b/>
      <color theme="1"/>
      <name val="Calibri"/>
      <scheme val="minor"/>
    </font>
    <font>
      <color rgb="FFFFFFFF"/>
      <name val="Calibri"/>
      <scheme val="minor"/>
    </font>
    <font>
      <sz val="20.0"/>
      <color theme="1"/>
      <name val="Calibri"/>
      <scheme val="minor"/>
    </font>
    <font>
      <sz val="16.0"/>
      <color rgb="FF666666"/>
      <name val="Calibri"/>
      <scheme val="minor"/>
    </font>
    <font>
      <color rgb="FF999999"/>
      <name val="Calibri"/>
      <scheme val="minor"/>
    </font>
    <font>
      <u/>
      <color rgb="FF0000FF"/>
    </font>
    <font>
      <u/>
      <color rgb="FF0000FF"/>
    </font>
    <font>
      <color theme="1"/>
      <name val="Calibri"/>
      <scheme val="minor"/>
    </font>
    <font>
      <u/>
      <color rgb="FF0563C1"/>
      <name val="Calibri"/>
      <scheme val="minor"/>
    </font>
    <font>
      <color rgb="FFB7B7B7"/>
      <name val="Calibri"/>
      <scheme val="minor"/>
    </font>
    <font>
      <u/>
      <color rgb="FF0000FF"/>
    </font>
  </fonts>
  <fills count="8">
    <fill>
      <patternFill patternType="none"/>
    </fill>
    <fill>
      <patternFill patternType="lightGray"/>
    </fill>
    <fill>
      <patternFill patternType="solid">
        <fgColor rgb="FFD8D8D8"/>
        <bgColor rgb="FFD8D8D8"/>
      </patternFill>
    </fill>
    <fill>
      <patternFill patternType="solid">
        <fgColor rgb="FFD9D9D9"/>
        <bgColor rgb="FFD9D9D9"/>
      </patternFill>
    </fill>
    <fill>
      <patternFill patternType="solid">
        <fgColor rgb="FFFFF2CC"/>
        <bgColor rgb="FFFFF2CC"/>
      </patternFill>
    </fill>
    <fill>
      <patternFill patternType="solid">
        <fgColor rgb="FFF3F3F3"/>
        <bgColor rgb="FFF3F3F3"/>
      </patternFill>
    </fill>
    <fill>
      <patternFill patternType="solid">
        <fgColor rgb="FF00FF00"/>
        <bgColor rgb="FF00FF00"/>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shrinkToFit="0" vertical="center" wrapText="1"/>
    </xf>
    <xf borderId="0" fillId="0" fontId="1" numFmtId="0" xfId="0" applyAlignment="1" applyFont="1">
      <alignment horizontal="center" vertical="center"/>
    </xf>
    <xf borderId="0" fillId="0" fontId="2" numFmtId="0" xfId="0" applyAlignment="1" applyFont="1">
      <alignment vertical="center"/>
    </xf>
    <xf borderId="0" fillId="0" fontId="1" numFmtId="0" xfId="0" applyAlignment="1" applyFont="1">
      <alignment horizontal="center" readingOrder="0" vertical="center"/>
    </xf>
    <xf borderId="0" fillId="0" fontId="3" numFmtId="0" xfId="0" applyAlignment="1" applyFont="1">
      <alignment vertical="bottom"/>
    </xf>
    <xf borderId="0" fillId="0" fontId="4" numFmtId="0" xfId="0" applyAlignment="1" applyFont="1">
      <alignment horizontal="left" vertical="center"/>
    </xf>
    <xf borderId="0" fillId="0" fontId="3" numFmtId="0" xfId="0" applyAlignment="1" applyFont="1">
      <alignment vertical="bottom"/>
    </xf>
    <xf borderId="0" fillId="0" fontId="3"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6" numFmtId="0" xfId="0" applyAlignment="1" applyFont="1">
      <alignment vertical="bottom"/>
    </xf>
    <xf borderId="0" fillId="0" fontId="6"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readingOrder="0" vertical="center"/>
    </xf>
    <xf borderId="0" fillId="0" fontId="2" numFmtId="0" xfId="0" applyAlignment="1" applyFont="1">
      <alignment readingOrder="0" vertical="center"/>
    </xf>
    <xf borderId="0" fillId="3" fontId="2" numFmtId="0" xfId="0" applyAlignment="1" applyFill="1" applyFont="1">
      <alignment vertical="center"/>
    </xf>
    <xf borderId="0" fillId="3" fontId="10" numFmtId="0" xfId="0" applyAlignment="1" applyFont="1">
      <alignment vertical="center"/>
    </xf>
    <xf borderId="1" fillId="4" fontId="11" numFmtId="0" xfId="0" applyAlignment="1" applyBorder="1" applyFill="1" applyFont="1">
      <alignment horizontal="center" vertical="center"/>
    </xf>
    <xf borderId="1" fillId="5" fontId="12" numFmtId="0" xfId="0" applyAlignment="1" applyBorder="1" applyFill="1" applyFont="1">
      <alignment horizontal="center" vertical="center"/>
    </xf>
    <xf borderId="0" fillId="0" fontId="13" numFmtId="0" xfId="0" applyAlignment="1" applyFont="1">
      <alignment readingOrder="0" vertical="center"/>
    </xf>
    <xf borderId="0" fillId="6" fontId="14" numFmtId="0" xfId="0" applyAlignment="1" applyFill="1" applyFont="1">
      <alignment readingOrder="0" vertical="center"/>
    </xf>
    <xf borderId="0" fillId="0" fontId="15" numFmtId="0" xfId="0" applyAlignment="1" applyFont="1">
      <alignment readingOrder="0" vertical="center"/>
    </xf>
    <xf borderId="0" fillId="0" fontId="16" numFmtId="0" xfId="0" applyAlignment="1" applyFont="1">
      <alignment readingOrder="0" vertical="center"/>
    </xf>
    <xf borderId="0" fillId="0" fontId="17" numFmtId="0" xfId="0" applyAlignment="1" applyFont="1">
      <alignment readingOrder="0" vertical="center"/>
    </xf>
    <xf borderId="0" fillId="0" fontId="18" numFmtId="0" xfId="0" applyAlignment="1" applyFont="1">
      <alignment readingOrder="0" vertical="center"/>
    </xf>
    <xf borderId="0" fillId="0" fontId="16" numFmtId="0" xfId="0" applyAlignment="1" applyFont="1">
      <alignment readingOrder="0" vertical="center"/>
    </xf>
    <xf borderId="0" fillId="7" fontId="19" numFmtId="0" xfId="0" applyAlignment="1" applyFill="1" applyFont="1">
      <alignment readingOrder="0" vertical="center"/>
    </xf>
  </cellXfs>
  <cellStyles count="1">
    <cellStyle xfId="0" name="Normal" builtinId="0"/>
  </cellStyles>
  <dxfs count="2">
    <dxf>
      <font/>
      <fill>
        <patternFill patternType="solid">
          <fgColor rgb="FF00FF00"/>
          <bgColor rgb="FF00FF00"/>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blog.naver.com/walire/224038672424" TargetMode="External"/><Relationship Id="rId10" Type="http://schemas.openxmlformats.org/officeDocument/2006/relationships/hyperlink" Target="https://www.youtube.com/playlist?list=PLl_9MMfrgCBLUr_ZL__ghKfNjqufGdfeF" TargetMode="External"/><Relationship Id="rId13" Type="http://schemas.openxmlformats.org/officeDocument/2006/relationships/hyperlink" Target="https://blog.naver.com/walire/224069549028" TargetMode="External"/><Relationship Id="rId12" Type="http://schemas.openxmlformats.org/officeDocument/2006/relationships/hyperlink" Target="https://blog.naver.com/walire/224023907538" TargetMode="External"/><Relationship Id="rId1" Type="http://schemas.openxmlformats.org/officeDocument/2006/relationships/hyperlink" Target="https://chatgpt.com/g/g-YwXF0TxT3-seusaem-s-yeongjag-doumi-honhab-munjangdo-ceogceog" TargetMode="External"/><Relationship Id="rId2" Type="http://schemas.openxmlformats.org/officeDocument/2006/relationships/hyperlink" Target="https://blog.naver.com/walire/223715803654" TargetMode="External"/><Relationship Id="rId3" Type="http://schemas.openxmlformats.org/officeDocument/2006/relationships/hyperlink" Target="https://chatgpt.com/g/g-677a46d9704081918fd07438da1f75b6-seusaem-s-coganpyeon-eohwi-doumi-2-t2-dd-qq-ss-p-q" TargetMode="External"/><Relationship Id="rId4" Type="http://schemas.openxmlformats.org/officeDocument/2006/relationships/hyperlink" Target="https://youtu.be/wBlQMFsxK4M" TargetMode="External"/><Relationship Id="rId9" Type="http://schemas.openxmlformats.org/officeDocument/2006/relationships/hyperlink" Target="https://www.youtube.com/playlist?list=PLl_9MMfrgCBK225gXiNfCYcitA9s0XA1t" TargetMode="External"/><Relationship Id="rId14" Type="http://schemas.openxmlformats.org/officeDocument/2006/relationships/drawing" Target="../drawings/drawing3.xml"/><Relationship Id="rId5" Type="http://schemas.openxmlformats.org/officeDocument/2006/relationships/hyperlink" Target="https://youtu.be/qxKmr8tlFGc" TargetMode="External"/><Relationship Id="rId6" Type="http://schemas.openxmlformats.org/officeDocument/2006/relationships/hyperlink" Target="https://www.youtube.com/watch?v=gBuBuC9oD0c" TargetMode="External"/><Relationship Id="rId7" Type="http://schemas.openxmlformats.org/officeDocument/2006/relationships/hyperlink" Target="https://www.youtube.com/watch?v=ebdc0xsn9qE" TargetMode="External"/><Relationship Id="rId8" Type="http://schemas.openxmlformats.org/officeDocument/2006/relationships/hyperlink" Target="https://www.youtube.com/playlist?list=PLl_9MMfrgCBKgvRngkqmPaUOezH35Xxt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0.86"/>
    <col customWidth="1" min="3" max="3" width="15.43"/>
    <col customWidth="1" min="4" max="4" width="55.43"/>
    <col customWidth="1" min="5" max="5" width="82.14"/>
    <col customWidth="1" min="6" max="6" width="48.43"/>
    <col customWidth="1" min="7" max="22" width="8.71"/>
  </cols>
  <sheetData>
    <row r="1" ht="33.0" customHeight="1">
      <c r="A1" s="1" t="s">
        <v>0</v>
      </c>
      <c r="B1" s="2" t="s">
        <v>1</v>
      </c>
      <c r="C1" s="3" t="s">
        <v>2</v>
      </c>
      <c r="D1" s="2" t="s">
        <v>3</v>
      </c>
      <c r="E1" s="2" t="s">
        <v>4</v>
      </c>
      <c r="F1" s="2" t="s">
        <v>5</v>
      </c>
      <c r="G1" s="4"/>
      <c r="H1" s="4"/>
      <c r="I1" s="4"/>
      <c r="J1" s="4"/>
      <c r="K1" s="4"/>
      <c r="L1" s="4"/>
      <c r="M1" s="4"/>
      <c r="N1" s="4"/>
      <c r="O1" s="4"/>
      <c r="P1" s="4"/>
      <c r="Q1" s="4"/>
      <c r="R1" s="4"/>
      <c r="S1" s="4"/>
      <c r="T1" s="4"/>
      <c r="U1" s="4"/>
      <c r="V1" s="4"/>
    </row>
    <row r="2">
      <c r="A2" s="5">
        <v>1.0</v>
      </c>
      <c r="B2" s="6">
        <v>251224.0</v>
      </c>
      <c r="C2" s="6">
        <v>1.0</v>
      </c>
      <c r="D2" s="7" t="s">
        <v>6</v>
      </c>
      <c r="E2" s="8" t="str">
        <f>IFERROR(__xludf.DUMMYFUNCTION("IF(
  LEN(TRIM(D2))=0,
  ""왼쪽에 영어 문장을 입력하세요"",
  GOOGLETRANSLATE(D2,""en"",""ko"")
)"),"기대하고 있습니다")</f>
        <v>기대하고 있습니다</v>
      </c>
      <c r="F2" s="9" t="s">
        <v>7</v>
      </c>
    </row>
    <row r="3">
      <c r="A3" s="5">
        <v>2.0</v>
      </c>
      <c r="B3" s="6">
        <v>251224.0</v>
      </c>
      <c r="C3" s="6"/>
      <c r="D3" s="7" t="s">
        <v>8</v>
      </c>
      <c r="E3" s="8" t="str">
        <f>IFERROR(__xludf.DUMMYFUNCTION("IF(
  LEN(TRIM(D3))=0,
  ""왼쪽에 영어 문장을 입력하세요"",
  GOOGLETRANSLATE(D3,""en"",""ko"")
)"),"초기에 문제를 해결하세요")</f>
        <v>초기에 문제를 해결하세요</v>
      </c>
      <c r="F3" s="9" t="s">
        <v>9</v>
      </c>
    </row>
    <row r="4">
      <c r="A4" s="5">
        <v>3.0</v>
      </c>
      <c r="B4" s="6">
        <v>251224.0</v>
      </c>
      <c r="C4" s="6">
        <v>2.0</v>
      </c>
      <c r="D4" s="7" t="s">
        <v>10</v>
      </c>
      <c r="E4" s="8" t="str">
        <f>IFERROR(__xludf.DUMMYFUNCTION("IF(
  LEN(TRIM(D4))=0,
  ""왼쪽에 영어 문장을 입력하세요"",
  GOOGLETRANSLATE(D4,""en"",""ko"")
)"),"풍경의 변화")</f>
        <v>풍경의 변화</v>
      </c>
      <c r="F4" s="9" t="s">
        <v>11</v>
      </c>
    </row>
    <row r="5">
      <c r="A5" s="5">
        <v>4.0</v>
      </c>
      <c r="B5" s="6">
        <v>251224.0</v>
      </c>
      <c r="C5" s="6"/>
      <c r="D5" s="7" t="s">
        <v>12</v>
      </c>
      <c r="E5" s="8" t="str">
        <f>IFERROR(__xludf.DUMMYFUNCTION("IF(
  LEN(TRIM(D5))=0,
  ""왼쪽에 영어 문장을 입력하세요"",
  GOOGLETRANSLATE(D5,""en"",""ko"")
)"),"스트레스를 풀다")</f>
        <v>스트레스를 풀다</v>
      </c>
      <c r="F5" s="9" t="s">
        <v>13</v>
      </c>
    </row>
    <row r="6">
      <c r="A6" s="5">
        <v>5.0</v>
      </c>
      <c r="B6" s="6">
        <v>251224.0</v>
      </c>
      <c r="C6" s="6"/>
      <c r="D6" s="7" t="s">
        <v>14</v>
      </c>
      <c r="E6" s="8" t="str">
        <f>IFERROR(__xludf.DUMMYFUNCTION("IF(
  LEN(TRIM(D6))=0,
  ""왼쪽에 영어 문장을 입력하세요"",
  GOOGLETRANSLATE(D6,""en"",""ko"")
)"),"살아남거나 도태되거나")</f>
        <v>살아남거나 도태되거나</v>
      </c>
      <c r="F6" s="9" t="s">
        <v>15</v>
      </c>
    </row>
    <row r="7">
      <c r="A7" s="5">
        <v>6.0</v>
      </c>
      <c r="B7" s="6">
        <v>251224.0</v>
      </c>
      <c r="C7" s="6">
        <v>2.0</v>
      </c>
      <c r="D7" s="7" t="s">
        <v>16</v>
      </c>
      <c r="E7" s="8" t="str">
        <f>IFERROR(__xludf.DUMMYFUNCTION("IF(
  LEN(TRIM(D7))=0,
  ""왼쪽에 영어 문장을 입력하세요"",
  GOOGLETRANSLATE(D7,""en"",""ko"")
)"),"공중에")</f>
        <v>공중에</v>
      </c>
      <c r="F7" s="9" t="s">
        <v>17</v>
      </c>
    </row>
    <row r="8">
      <c r="A8" s="5">
        <v>7.0</v>
      </c>
      <c r="B8" s="6">
        <v>251224.0</v>
      </c>
      <c r="C8" s="6"/>
      <c r="D8" s="7" t="s">
        <v>18</v>
      </c>
      <c r="E8" s="8" t="str">
        <f>IFERROR(__xludf.DUMMYFUNCTION("IF(
  LEN(TRIM(D8))=0,
  ""왼쪽에 영어 문장을 입력하세요"",
  GOOGLETRANSLATE(D8,""en"",""ko"")
)"),"동굴")</f>
        <v>동굴</v>
      </c>
      <c r="F8" s="9" t="s">
        <v>19</v>
      </c>
    </row>
    <row r="9">
      <c r="A9" s="5">
        <v>8.0</v>
      </c>
      <c r="B9" s="6">
        <v>251224.0</v>
      </c>
      <c r="C9" s="6"/>
      <c r="D9" s="7" t="s">
        <v>20</v>
      </c>
      <c r="E9" s="8" t="str">
        <f>IFERROR(__xludf.DUMMYFUNCTION("IF(
  LEN(TRIM(D9))=0,
  ""왼쪽에 영어 문장을 입력하세요"",
  GOOGLETRANSLATE(D9,""en"",""ko"")
)"),"지불하다")</f>
        <v>지불하다</v>
      </c>
      <c r="F9" s="9" t="s">
        <v>21</v>
      </c>
    </row>
    <row r="10">
      <c r="A10" s="5">
        <v>9.0</v>
      </c>
      <c r="B10" s="6">
        <v>251224.0</v>
      </c>
      <c r="C10" s="6"/>
      <c r="D10" s="7" t="s">
        <v>22</v>
      </c>
      <c r="E10" s="8" t="str">
        <f>IFERROR(__xludf.DUMMYFUNCTION("IF(
  LEN(TRIM(D10))=0,
  ""왼쪽에 영어 문장을 입력하세요"",
  GOOGLETRANSLATE(D10,""en"",""ko"")
)"),"적당히")</f>
        <v>적당히</v>
      </c>
      <c r="F10" s="9" t="s">
        <v>23</v>
      </c>
    </row>
    <row r="11">
      <c r="A11" s="5">
        <v>10.0</v>
      </c>
      <c r="B11" s="6">
        <v>251224.0</v>
      </c>
      <c r="C11" s="6">
        <v>2.0</v>
      </c>
      <c r="D11" s="7" t="s">
        <v>24</v>
      </c>
      <c r="E11" s="8" t="str">
        <f>IFERROR(__xludf.DUMMYFUNCTION("IF(
  LEN(TRIM(D11))=0,
  ""왼쪽에 영어 문장을 입력하세요"",
  GOOGLETRANSLATE(D11,""en"",""ko"")
)"),"갑자기 끊다/금단하다")</f>
        <v>갑자기 끊다/금단하다</v>
      </c>
      <c r="F11" s="9" t="s">
        <v>25</v>
      </c>
    </row>
    <row r="12">
      <c r="A12" s="5">
        <v>11.0</v>
      </c>
      <c r="B12" s="6">
        <v>251224.0</v>
      </c>
      <c r="C12" s="4"/>
      <c r="D12" s="7" t="s">
        <v>26</v>
      </c>
      <c r="E12" s="8" t="str">
        <f>IFERROR(__xludf.DUMMYFUNCTION("IF(
  LEN(TRIM(D12))=0,
  ""왼쪽에 영어 문장을 입력하세요"",
  GOOGLETRANSLATE(D12,""en"",""ko"")
)"),"요령을 터득하세요.")</f>
        <v>요령을 터득하세요.</v>
      </c>
      <c r="F12" s="9" t="s">
        <v>27</v>
      </c>
    </row>
    <row r="13">
      <c r="A13" s="5">
        <v>12.0</v>
      </c>
      <c r="B13" s="6">
        <v>251224.0</v>
      </c>
      <c r="C13" s="6"/>
      <c r="D13" s="7" t="s">
        <v>28</v>
      </c>
      <c r="E13" s="8" t="str">
        <f>IFERROR(__xludf.DUMMYFUNCTION("IF(
  LEN(TRIM(D13))=0,
  ""왼쪽에 영어 문장을 입력하세요"",
  GOOGLETRANSLATE(D13,""en"",""ko"")
)"),"고통을 감수하라")</f>
        <v>고통을 감수하라</v>
      </c>
      <c r="F13" s="9" t="s">
        <v>29</v>
      </c>
    </row>
    <row r="14">
      <c r="A14" s="5">
        <v>13.0</v>
      </c>
      <c r="B14" s="6">
        <v>251224.0</v>
      </c>
      <c r="C14" s="6"/>
      <c r="D14" s="7" t="s">
        <v>30</v>
      </c>
      <c r="E14" s="8" t="str">
        <f>IFERROR(__xludf.DUMMYFUNCTION("IF(
  LEN(TRIM(D14))=0,
  ""왼쪽에 영어 문장을 입력하세요"",
  GOOGLETRANSLATE(D14,""en"",""ko"")
)"),"다시 정상 궤도로 돌아오다")</f>
        <v>다시 정상 궤도로 돌아오다</v>
      </c>
      <c r="F14" s="9" t="s">
        <v>31</v>
      </c>
    </row>
    <row r="15">
      <c r="A15" s="5">
        <v>14.0</v>
      </c>
      <c r="B15" s="6">
        <v>251224.0</v>
      </c>
      <c r="C15" s="4"/>
      <c r="D15" s="7" t="s">
        <v>32</v>
      </c>
      <c r="E15" s="8" t="str">
        <f>IFERROR(__xludf.DUMMYFUNCTION("IF(
  LEN(TRIM(D15))=0,
  ""왼쪽에 영어 문장을 입력하세요"",
  GOOGLETRANSLATE(D15,""en"",""ko"")
)"),"노력하다")</f>
        <v>노력하다</v>
      </c>
      <c r="F15" s="9" t="s">
        <v>33</v>
      </c>
    </row>
    <row r="16">
      <c r="A16" s="5">
        <v>15.0</v>
      </c>
      <c r="B16" s="6">
        <v>251224.0</v>
      </c>
      <c r="C16" s="6"/>
      <c r="D16" s="7" t="s">
        <v>34</v>
      </c>
      <c r="E16" s="8" t="str">
        <f>IFERROR(__xludf.DUMMYFUNCTION("IF(
  LEN(TRIM(D16))=0,
  ""왼쪽에 영어 문장을 입력하세요"",
  GOOGLETRANSLATE(D16,""en"",""ko"")
)"),"어떤 일의 진상을 파악하다")</f>
        <v>어떤 일의 진상을 파악하다</v>
      </c>
      <c r="F16" s="9" t="s">
        <v>35</v>
      </c>
    </row>
    <row r="17">
      <c r="A17" s="5">
        <v>16.0</v>
      </c>
      <c r="B17" s="6">
        <v>251224.0</v>
      </c>
      <c r="C17" s="6"/>
      <c r="D17" s="7" t="s">
        <v>36</v>
      </c>
      <c r="E17" s="8" t="str">
        <f>IFERROR(__xludf.DUMMYFUNCTION("IF(
  LEN(TRIM(D17))=0,
  ""왼쪽에 영어 문장을 입력하세요"",
  GOOGLETRANSLATE(D17,""en"",""ko"")
)"),"한 단계씩 차근차근")</f>
        <v>한 단계씩 차근차근</v>
      </c>
      <c r="F17" s="9" t="s">
        <v>37</v>
      </c>
    </row>
    <row r="18">
      <c r="A18" s="5">
        <v>17.0</v>
      </c>
      <c r="B18" s="6">
        <v>251224.0</v>
      </c>
      <c r="C18" s="4"/>
      <c r="D18" s="7" t="s">
        <v>38</v>
      </c>
      <c r="E18" s="8" t="str">
        <f>IFERROR(__xludf.DUMMYFUNCTION("IF(
  LEN(TRIM(D18))=0,
  ""왼쪽에 영어 문장을 입력하세요"",
  GOOGLETRANSLATE(D18,""en"",""ko"")
)"),"주의 깊게 살펴보세요")</f>
        <v>주의 깊게 살펴보세요</v>
      </c>
      <c r="F18" s="9" t="s">
        <v>39</v>
      </c>
    </row>
    <row r="19">
      <c r="A19" s="5">
        <v>18.0</v>
      </c>
      <c r="B19" s="6">
        <v>251224.0</v>
      </c>
      <c r="C19" s="4"/>
      <c r="D19" s="7" t="s">
        <v>40</v>
      </c>
      <c r="E19" s="8" t="str">
        <f>IFERROR(__xludf.DUMMYFUNCTION("IF(
  LEN(TRIM(D19))=0,
  ""왼쪽에 영어 문장을 입력하세요"",
  GOOGLETRANSLATE(D19,""en"",""ko"")
)"),"무언가를 잔치하다")</f>
        <v>무언가를 잔치하다</v>
      </c>
      <c r="F19" s="9" t="s">
        <v>41</v>
      </c>
    </row>
    <row r="20">
      <c r="A20" s="5">
        <v>19.0</v>
      </c>
      <c r="B20" s="6">
        <v>251224.0</v>
      </c>
      <c r="C20" s="4"/>
      <c r="D20" s="7" t="s">
        <v>42</v>
      </c>
      <c r="E20" s="8" t="str">
        <f>IFERROR(__xludf.DUMMYFUNCTION("IF(
  LEN(TRIM(D20))=0,
  ""왼쪽에 영어 문장을 입력하세요"",
  GOOGLETRANSLATE(D20,""en"",""ko"")
)"),"~에 끌린다")</f>
        <v>~에 끌린다</v>
      </c>
      <c r="F20" s="9" t="s">
        <v>43</v>
      </c>
    </row>
    <row r="21">
      <c r="A21" s="5">
        <v>20.0</v>
      </c>
      <c r="B21" s="6">
        <v>251224.0</v>
      </c>
      <c r="C21" s="4"/>
      <c r="D21" s="7" t="s">
        <v>44</v>
      </c>
      <c r="E21" s="8" t="str">
        <f>IFERROR(__xludf.DUMMYFUNCTION("IF(
  LEN(TRIM(D21))=0,
  ""왼쪽에 영어 문장을 입력하세요"",
  GOOGLETRANSLATE(D21,""en"",""ko"")
)"),"처음부터 잘못된 시작을 하다")</f>
        <v>처음부터 잘못된 시작을 하다</v>
      </c>
      <c r="F21" s="9" t="s">
        <v>45</v>
      </c>
    </row>
    <row r="22">
      <c r="A22" s="5">
        <v>21.0</v>
      </c>
      <c r="B22" s="6">
        <v>251224.0</v>
      </c>
      <c r="C22" s="6"/>
      <c r="D22" s="7" t="s">
        <v>46</v>
      </c>
      <c r="E22" s="8" t="str">
        <f>IFERROR(__xludf.DUMMYFUNCTION("IF(
  LEN(TRIM(D22))=0,
  ""왼쪽에 영어 문장을 입력하세요"",
  GOOGLETRANSLATE(D22,""en"",""ko"")
)"),"다른 사람의 입장이 되어 보세요")</f>
        <v>다른 사람의 입장이 되어 보세요</v>
      </c>
      <c r="F22" s="9" t="s">
        <v>47</v>
      </c>
    </row>
    <row r="23">
      <c r="A23" s="5">
        <v>22.0</v>
      </c>
      <c r="B23" s="6">
        <v>251224.0</v>
      </c>
      <c r="C23" s="6"/>
      <c r="D23" s="7" t="s">
        <v>48</v>
      </c>
      <c r="E23" s="8" t="str">
        <f>IFERROR(__xludf.DUMMYFUNCTION("IF(
  LEN(TRIM(D23))=0,
  ""왼쪽에 영어 문장을 입력하세요"",
  GOOGLETRANSLATE(D23,""en"",""ko"")
)"),"누군가를 좀 봐주다")</f>
        <v>누군가를 좀 봐주다</v>
      </c>
      <c r="F23" s="9" t="s">
        <v>49</v>
      </c>
    </row>
    <row r="24">
      <c r="A24" s="5">
        <v>23.0</v>
      </c>
      <c r="B24" s="6">
        <v>251224.0</v>
      </c>
      <c r="C24" s="6"/>
      <c r="D24" s="7" t="s">
        <v>50</v>
      </c>
      <c r="E24" s="8" t="str">
        <f>IFERROR(__xludf.DUMMYFUNCTION("IF(
  LEN(TRIM(D24))=0,
  ""왼쪽에 영어 문장을 입력하세요"",
  GOOGLETRANSLATE(D24,""en"",""ko"")
)"),"살살 하세요")</f>
        <v>살살 하세요</v>
      </c>
      <c r="F24" s="9" t="s">
        <v>51</v>
      </c>
    </row>
    <row r="25">
      <c r="A25" s="5">
        <v>24.0</v>
      </c>
      <c r="B25" s="6">
        <v>251224.0</v>
      </c>
      <c r="C25" s="4"/>
      <c r="D25" s="7" t="s">
        <v>52</v>
      </c>
      <c r="E25" s="8" t="str">
        <f>IFERROR(__xludf.DUMMYFUNCTION("IF(
  LEN(TRIM(D25))=0,
  ""왼쪽에 영어 문장을 입력하세요"",
  GOOGLETRANSLATE(D25,""en"",""ko"")
)"),"무겁다")</f>
        <v>무겁다</v>
      </c>
      <c r="F25" s="9" t="s">
        <v>53</v>
      </c>
    </row>
    <row r="26">
      <c r="A26" s="5">
        <v>25.0</v>
      </c>
      <c r="B26" s="6">
        <v>251224.0</v>
      </c>
      <c r="C26" s="6"/>
      <c r="D26" s="7" t="s">
        <v>54</v>
      </c>
      <c r="E26" s="8" t="str">
        <f>IFERROR(__xludf.DUMMYFUNCTION("IF(
  LEN(TRIM(D26))=0,
  ""왼쪽에 영어 문장을 입력하세요"",
  GOOGLETRANSLATE(D26,""en"",""ko"")
)"),"데비 다운어")</f>
        <v>데비 다운어</v>
      </c>
      <c r="F26" s="9" t="s">
        <v>55</v>
      </c>
    </row>
    <row r="27">
      <c r="A27" s="5">
        <v>26.0</v>
      </c>
      <c r="B27" s="6">
        <v>251224.0</v>
      </c>
      <c r="C27" s="4"/>
      <c r="D27" s="7" t="s">
        <v>56</v>
      </c>
      <c r="E27" s="8" t="str">
        <f>IFERROR(__xludf.DUMMYFUNCTION("IF(
  LEN(TRIM(D27))=0,
  ""왼쪽에 영어 문장을 입력하세요"",
  GOOGLETRANSLATE(D27,""en"",""ko"")
)"),"젖은 담요")</f>
        <v>젖은 담요</v>
      </c>
      <c r="F27" s="9" t="s">
        <v>57</v>
      </c>
    </row>
    <row r="28">
      <c r="A28" s="5">
        <v>27.0</v>
      </c>
      <c r="B28" s="6">
        <v>251224.0</v>
      </c>
      <c r="C28" s="4"/>
      <c r="D28" s="7" t="s">
        <v>58</v>
      </c>
      <c r="E28" s="8" t="str">
        <f>IFERROR(__xludf.DUMMYFUNCTION("IF(
  LEN(TRIM(D28))=0,
  ""왼쪽에 영어 문장을 입력하세요"",
  GOOGLETRANSLATE(D28,""en"",""ko"")
)"),"동시에")</f>
        <v>동시에</v>
      </c>
      <c r="F28" s="9" t="s">
        <v>59</v>
      </c>
    </row>
    <row r="29">
      <c r="A29" s="5">
        <v>28.0</v>
      </c>
      <c r="B29" s="6">
        <v>251224.0</v>
      </c>
      <c r="C29" s="4"/>
      <c r="D29" s="7" t="s">
        <v>60</v>
      </c>
      <c r="E29" s="8" t="str">
        <f>IFERROR(__xludf.DUMMYFUNCTION("IF(
  LEN(TRIM(D29))=0,
  ""왼쪽에 영어 문장을 입력하세요"",
  GOOGLETRANSLATE(D29,""en"",""ko"")
)"),"무언가를 바로잡다")</f>
        <v>무언가를 바로잡다</v>
      </c>
      <c r="F29" s="9" t="s">
        <v>61</v>
      </c>
    </row>
    <row r="30">
      <c r="A30" s="5">
        <v>29.0</v>
      </c>
      <c r="B30" s="6">
        <v>251224.0</v>
      </c>
      <c r="C30" s="6"/>
      <c r="D30" s="7" t="s">
        <v>62</v>
      </c>
      <c r="E30" s="8" t="str">
        <f>IFERROR(__xludf.DUMMYFUNCTION("IF(
  LEN(TRIM(D30))=0,
  ""왼쪽에 영어 문장을 입력하세요"",
  GOOGLETRANSLATE(D30,""en"",""ko"")
)"),"톤업")</f>
        <v>톤업</v>
      </c>
      <c r="F30" s="9" t="s">
        <v>63</v>
      </c>
    </row>
    <row r="31">
      <c r="A31" s="5">
        <v>30.0</v>
      </c>
      <c r="B31" s="6">
        <v>251224.0</v>
      </c>
      <c r="C31" s="4"/>
      <c r="D31" s="7" t="s">
        <v>64</v>
      </c>
      <c r="E31" s="8" t="str">
        <f>IFERROR(__xludf.DUMMYFUNCTION("IF(
  LEN(TRIM(D31))=0,
  ""왼쪽에 영어 문장을 입력하세요"",
  GOOGLETRANSLATE(D31,""en"",""ko"")
)"),"당신은 어려운 부분을 해냈습니다.")</f>
        <v>당신은 어려운 부분을 해냈습니다.</v>
      </c>
      <c r="F31" s="9" t="s">
        <v>65</v>
      </c>
    </row>
    <row r="32">
      <c r="A32" s="5">
        <v>31.0</v>
      </c>
      <c r="B32" s="6">
        <v>251224.0</v>
      </c>
      <c r="C32" s="4"/>
      <c r="D32" s="7" t="s">
        <v>66</v>
      </c>
      <c r="E32" s="8" t="str">
        <f>IFERROR(__xludf.DUMMYFUNCTION("IF(
  LEN(TRIM(D32))=0,
  ""왼쪽에 영어 문장을 입력하세요"",
  GOOGLETRANSLATE(D32,""en"",""ko"")
)"),"누군가와 함께 시간을 보내다")</f>
        <v>누군가와 함께 시간을 보내다</v>
      </c>
      <c r="F32" s="9" t="s">
        <v>67</v>
      </c>
    </row>
    <row r="33">
      <c r="A33" s="5">
        <v>32.0</v>
      </c>
      <c r="B33" s="6">
        <v>251224.0</v>
      </c>
      <c r="C33" s="4"/>
      <c r="D33" s="7" t="s">
        <v>68</v>
      </c>
      <c r="E33" s="8" t="str">
        <f>IFERROR(__xludf.DUMMYFUNCTION("IF(
  LEN(TRIM(D33))=0,
  ""왼쪽에 영어 문장을 입력하세요"",
  GOOGLETRANSLATE(D33,""en"",""ko"")
)"),"서로 잘 맞았다")</f>
        <v>서로 잘 맞았다</v>
      </c>
      <c r="F33" s="9" t="s">
        <v>69</v>
      </c>
    </row>
    <row r="34">
      <c r="A34" s="5">
        <v>33.0</v>
      </c>
      <c r="B34" s="6">
        <v>251224.0</v>
      </c>
      <c r="C34" s="4"/>
      <c r="D34" s="7" t="s">
        <v>70</v>
      </c>
      <c r="E34" s="8" t="str">
        <f>IFERROR(__xludf.DUMMYFUNCTION("IF(
  LEN(TRIM(D34))=0,
  ""왼쪽에 영어 문장을 입력하세요"",
  GOOGLETRANSLATE(D34,""en"",""ko"")
)"),"무언가를 발견하다")</f>
        <v>무언가를 발견하다</v>
      </c>
      <c r="F34" s="9" t="s">
        <v>71</v>
      </c>
    </row>
    <row r="35">
      <c r="A35" s="5">
        <v>34.0</v>
      </c>
      <c r="B35" s="6">
        <v>251224.0</v>
      </c>
      <c r="C35" s="4"/>
      <c r="D35" s="7" t="s">
        <v>72</v>
      </c>
      <c r="E35" s="8" t="str">
        <f>IFERROR(__xludf.DUMMYFUNCTION("IF(
  LEN(TRIM(D35))=0,
  ""왼쪽에 영어 문장을 입력하세요"",
  GOOGLETRANSLATE(D35,""en"",""ko"")
)"),"누군가를 올바른 방향으로 안내해 주세요.")</f>
        <v>누군가를 올바른 방향으로 안내해 주세요.</v>
      </c>
      <c r="F35" s="9" t="s">
        <v>73</v>
      </c>
    </row>
    <row r="36">
      <c r="A36" s="5">
        <v>35.0</v>
      </c>
      <c r="B36" s="6">
        <v>251224.0</v>
      </c>
      <c r="C36" s="4"/>
      <c r="D36" s="7" t="s">
        <v>74</v>
      </c>
      <c r="E36" s="8" t="str">
        <f>IFERROR(__xludf.DUMMYFUNCTION("IF(
  LEN(TRIM(D36))=0,
  ""왼쪽에 영어 문장을 입력하세요"",
  GOOGLETRANSLATE(D36,""en"",""ko"")
)"),"무언가를 쪼아대다")</f>
        <v>무언가를 쪼아대다</v>
      </c>
      <c r="F36" s="9" t="s">
        <v>75</v>
      </c>
    </row>
    <row r="37">
      <c r="A37" s="5">
        <v>36.0</v>
      </c>
      <c r="B37" s="6">
        <v>251224.0</v>
      </c>
      <c r="C37" s="4"/>
      <c r="D37" s="7" t="s">
        <v>76</v>
      </c>
      <c r="E37" s="8" t="str">
        <f>IFERROR(__xludf.DUMMYFUNCTION("IF(
  LEN(TRIM(D37))=0,
  ""왼쪽에 영어 문장을 입력하세요"",
  GOOGLETRANSLATE(D37,""en"",""ko"")
)"),"금상첨화")</f>
        <v>금상첨화</v>
      </c>
      <c r="F37" s="9" t="s">
        <v>77</v>
      </c>
    </row>
    <row r="38">
      <c r="A38" s="5">
        <v>37.0</v>
      </c>
      <c r="B38" s="6">
        <v>251224.0</v>
      </c>
      <c r="C38" s="4"/>
      <c r="D38" s="7" t="s">
        <v>78</v>
      </c>
      <c r="E38" s="8" t="str">
        <f>IFERROR(__xludf.DUMMYFUNCTION("IF(
  LEN(TRIM(D38))=0,
  ""왼쪽에 영어 문장을 입력하세요"",
  GOOGLETRANSLATE(D38,""en"",""ko"")
)"),"상하다")</f>
        <v>상하다</v>
      </c>
      <c r="F38" s="9" t="s">
        <v>79</v>
      </c>
    </row>
    <row r="39">
      <c r="A39" s="5">
        <v>38.0</v>
      </c>
      <c r="B39" s="6">
        <v>251224.0</v>
      </c>
      <c r="C39" s="4"/>
      <c r="D39" s="7" t="s">
        <v>80</v>
      </c>
      <c r="E39" s="8" t="str">
        <f>IFERROR(__xludf.DUMMYFUNCTION("IF(
  LEN(TRIM(D39))=0,
  ""왼쪽에 영어 문장을 입력하세요"",
  GOOGLETRANSLATE(D39,""en"",""ko"")
)"),"질렸다")</f>
        <v>질렸다</v>
      </c>
      <c r="F39" s="9" t="s">
        <v>81</v>
      </c>
    </row>
    <row r="40">
      <c r="A40" s="5">
        <v>39.0</v>
      </c>
      <c r="B40" s="6">
        <v>251224.0</v>
      </c>
      <c r="C40" s="6"/>
      <c r="D40" s="7" t="s">
        <v>82</v>
      </c>
      <c r="E40" s="8" t="str">
        <f>IFERROR(__xludf.DUMMYFUNCTION("IF(
  LEN(TRIM(D40))=0,
  ""왼쪽에 영어 문장을 입력하세요"",
  GOOGLETRANSLATE(D40,""en"",""ko"")
)"),"밀어붙여라")</f>
        <v>밀어붙여라</v>
      </c>
      <c r="F40" s="9" t="s">
        <v>83</v>
      </c>
    </row>
    <row r="41">
      <c r="A41" s="5">
        <v>42.0</v>
      </c>
      <c r="B41" s="6">
        <v>251224.0</v>
      </c>
      <c r="C41" s="4"/>
      <c r="D41" s="7" t="s">
        <v>84</v>
      </c>
      <c r="E41" s="8" t="str">
        <f>IFERROR(__xludf.DUMMYFUNCTION("IF(
  LEN(TRIM(D41))=0,
  ""왼쪽에 영어 문장을 입력하세요"",
  GOOGLETRANSLATE(D41,""en"",""ko"")
)"),"모퉁이를 돌다")</f>
        <v>모퉁이를 돌다</v>
      </c>
      <c r="F41" s="9" t="s">
        <v>85</v>
      </c>
    </row>
    <row r="42">
      <c r="A42" s="5">
        <v>43.0</v>
      </c>
      <c r="B42" s="6">
        <v>251224.0</v>
      </c>
      <c r="C42" s="4"/>
      <c r="D42" s="7" t="s">
        <v>86</v>
      </c>
      <c r="E42" s="8" t="str">
        <f>IFERROR(__xludf.DUMMYFUNCTION("IF(
  LEN(TRIM(D42))=0,
  ""왼쪽에 영어 문장을 입력하세요"",
  GOOGLETRANSLATE(D42,""en"",""ko"")
)"),"일부러 수고하다")</f>
        <v>일부러 수고하다</v>
      </c>
      <c r="F42" s="9" t="s">
        <v>87</v>
      </c>
    </row>
    <row r="43">
      <c r="A43" s="5">
        <v>44.0</v>
      </c>
      <c r="B43" s="6">
        <v>251224.0</v>
      </c>
      <c r="C43" s="4"/>
      <c r="D43" s="7" t="s">
        <v>88</v>
      </c>
      <c r="E43" s="8" t="str">
        <f>IFERROR(__xludf.DUMMYFUNCTION("IF(
  LEN(TRIM(D43))=0,
  ""왼쪽에 영어 문장을 입력하세요"",
  GOOGLETRANSLATE(D43,""en"",""ko"")
)"),"자기 몫을 다해라")</f>
        <v>자기 몫을 다해라</v>
      </c>
      <c r="F43" s="9" t="s">
        <v>89</v>
      </c>
    </row>
    <row r="44">
      <c r="A44" s="5">
        <v>45.0</v>
      </c>
      <c r="B44" s="6">
        <v>251224.0</v>
      </c>
      <c r="C44" s="4"/>
      <c r="D44" s="7" t="s">
        <v>90</v>
      </c>
      <c r="E44" s="8" t="str">
        <f>IFERROR(__xludf.DUMMYFUNCTION("IF(
  LEN(TRIM(D44))=0,
  ""왼쪽에 영어 문장을 입력하세요"",
  GOOGLETRANSLATE(D44,""en"",""ko"")
)"),"죽은 무게")</f>
        <v>죽은 무게</v>
      </c>
      <c r="F44" s="9" t="s">
        <v>91</v>
      </c>
    </row>
    <row r="45">
      <c r="A45" s="5">
        <v>46.0</v>
      </c>
      <c r="B45" s="6">
        <v>251224.0</v>
      </c>
      <c r="C45" s="4"/>
      <c r="D45" s="7" t="s">
        <v>92</v>
      </c>
      <c r="E45" s="8" t="str">
        <f>IFERROR(__xludf.DUMMYFUNCTION("IF(
  LEN(TRIM(D45))=0,
  ""왼쪽에 영어 문장을 입력하세요"",
  GOOGLETRANSLATE(D45,""en"",""ko"")
)"),"장소의 분위기를 느껴보세요")</f>
        <v>장소의 분위기를 느껴보세요</v>
      </c>
      <c r="F45" s="9" t="s">
        <v>93</v>
      </c>
    </row>
    <row r="46">
      <c r="A46" s="5">
        <v>47.0</v>
      </c>
      <c r="B46" s="6">
        <v>251224.0</v>
      </c>
      <c r="C46" s="4"/>
      <c r="D46" s="7" t="s">
        <v>94</v>
      </c>
      <c r="E46" s="8" t="str">
        <f>IFERROR(__xludf.DUMMYFUNCTION("IF(
  LEN(TRIM(D46))=0,
  ""왼쪽에 영어 문장을 입력하세요"",
  GOOGLETRANSLATE(D46,""en"",""ko"")
)"),"냉기")</f>
        <v>냉기</v>
      </c>
      <c r="F46" s="9" t="s">
        <v>95</v>
      </c>
    </row>
    <row r="47">
      <c r="A47" s="5">
        <v>48.0</v>
      </c>
      <c r="B47" s="6">
        <v>251224.0</v>
      </c>
      <c r="C47" s="4"/>
      <c r="D47" s="7" t="s">
        <v>96</v>
      </c>
      <c r="E47" s="8" t="str">
        <f>IFERROR(__xludf.DUMMYFUNCTION("IF(
  LEN(TRIM(D47))=0,
  ""왼쪽에 영어 문장을 입력하세요"",
  GOOGLETRANSLATE(D47,""en"",""ko"")
)"),"기소된 혐의에 대해 유죄입니다.")</f>
        <v>기소된 혐의에 대해 유죄입니다.</v>
      </c>
      <c r="F47" s="9" t="s">
        <v>97</v>
      </c>
    </row>
    <row r="48">
      <c r="A48" s="5">
        <v>49.0</v>
      </c>
      <c r="B48" s="6">
        <v>251224.0</v>
      </c>
      <c r="C48" s="4"/>
      <c r="D48" s="7" t="s">
        <v>98</v>
      </c>
      <c r="E48" s="8" t="str">
        <f>IFERROR(__xludf.DUMMYFUNCTION("IF(
  LEN(TRIM(D48))=0,
  ""왼쪽에 영어 문장을 입력하세요"",
  GOOGLETRANSLATE(D48,""en"",""ko"")
)"),"말처럼 먹어")</f>
        <v>말처럼 먹어</v>
      </c>
      <c r="F48" s="9" t="s">
        <v>99</v>
      </c>
    </row>
    <row r="49">
      <c r="A49" s="5">
        <v>50.0</v>
      </c>
      <c r="B49" s="6">
        <v>251224.0</v>
      </c>
      <c r="C49" s="4"/>
      <c r="D49" s="7" t="s">
        <v>100</v>
      </c>
      <c r="E49" s="8" t="str">
        <f>IFERROR(__xludf.DUMMYFUNCTION("IF(
  LEN(TRIM(D49))=0,
  ""왼쪽에 영어 문장을 입력하세요"",
  GOOGLETRANSLATE(D49,""en"",""ko"")
)"),"나는 한 입 한 입 음미할 거야")</f>
        <v>나는 한 입 한 입 음미할 거야</v>
      </c>
      <c r="F49" s="9" t="s">
        <v>101</v>
      </c>
    </row>
    <row r="50">
      <c r="A50" s="5">
        <v>51.0</v>
      </c>
      <c r="B50" s="6">
        <v>251224.0</v>
      </c>
      <c r="C50" s="4"/>
      <c r="D50" s="7" t="s">
        <v>102</v>
      </c>
      <c r="E50" s="8" t="str">
        <f>IFERROR(__xludf.DUMMYFUNCTION("IF(
  LEN(TRIM(D50))=0,
  ""왼쪽에 영어 문장을 입력하세요"",
  GOOGLETRANSLATE(D50,""en"",""ko"")
)"),"음식은 제가 애정을 표현하는 가장 좋아하는 방법이에요.")</f>
        <v>음식은 제가 애정을 표현하는 가장 좋아하는 방법이에요.</v>
      </c>
      <c r="F50" s="9" t="s">
        <v>103</v>
      </c>
    </row>
    <row r="51">
      <c r="A51" s="5">
        <v>53.0</v>
      </c>
      <c r="B51" s="6">
        <v>251224.0</v>
      </c>
      <c r="C51" s="4"/>
      <c r="D51" s="7" t="s">
        <v>104</v>
      </c>
      <c r="E51" s="8" t="str">
        <f>IFERROR(__xludf.DUMMYFUNCTION("IF(
  LEN(TRIM(D51))=0,
  ""왼쪽에 영어 문장을 입력하세요"",
  GOOGLETRANSLATE(D51,""en"",""ko"")
)"),"~에 빛을 비추다")</f>
        <v>~에 빛을 비추다</v>
      </c>
      <c r="F51" s="9" t="s">
        <v>105</v>
      </c>
    </row>
    <row r="52">
      <c r="A52" s="5">
        <v>55.0</v>
      </c>
      <c r="B52" s="6">
        <v>251224.0</v>
      </c>
      <c r="C52" s="4"/>
      <c r="D52" s="7" t="s">
        <v>106</v>
      </c>
      <c r="E52" s="8" t="str">
        <f>IFERROR(__xludf.DUMMYFUNCTION("IF(
  LEN(TRIM(D52))=0,
  ""왼쪽에 영어 문장을 입력하세요"",
  GOOGLETRANSLATE(D52,""en"",""ko"")
)"),"몸을 최대한 굽히다")</f>
        <v>몸을 최대한 굽히다</v>
      </c>
      <c r="F52" s="9" t="s">
        <v>107</v>
      </c>
    </row>
    <row r="53">
      <c r="A53" s="5">
        <v>56.0</v>
      </c>
      <c r="B53" s="6">
        <v>251224.0</v>
      </c>
      <c r="C53" s="4"/>
      <c r="D53" s="7" t="s">
        <v>108</v>
      </c>
      <c r="E53" s="8" t="str">
        <f>IFERROR(__xludf.DUMMYFUNCTION("IF(
  LEN(TRIM(D53))=0,
  ""왼쪽에 영어 문장을 입력하세요"",
  GOOGLETRANSLATE(D53,""en"",""ko"")
)"),"무언가를 과장하다")</f>
        <v>무언가를 과장하다</v>
      </c>
      <c r="F53" s="9" t="s">
        <v>109</v>
      </c>
    </row>
    <row r="54">
      <c r="A54" s="5">
        <v>58.0</v>
      </c>
      <c r="B54" s="6">
        <v>251224.0</v>
      </c>
      <c r="C54" s="4"/>
      <c r="D54" s="7" t="s">
        <v>110</v>
      </c>
      <c r="E54" s="8" t="str">
        <f>IFERROR(__xludf.DUMMYFUNCTION("IF(
  LEN(TRIM(D54))=0,
  ""왼쪽에 영어 문장을 입력하세요"",
  GOOGLETRANSLATE(D54,""en"",""ko"")
)"),"벽에 부딪히다/벽에 부딪히다")</f>
        <v>벽에 부딪히다/벽에 부딪히다</v>
      </c>
      <c r="F54" s="9" t="s">
        <v>111</v>
      </c>
    </row>
    <row r="55">
      <c r="A55" s="5">
        <v>59.0</v>
      </c>
      <c r="B55" s="6">
        <v>251224.0</v>
      </c>
      <c r="C55" s="4"/>
      <c r="D55" s="7" t="s">
        <v>112</v>
      </c>
      <c r="E55" s="8" t="str">
        <f>IFERROR(__xludf.DUMMYFUNCTION("IF(
  LEN(TRIM(D55))=0,
  ""왼쪽에 영어 문장을 입력하세요"",
  GOOGLETRANSLATE(D55,""en"",""ko"")
)"),"나타나다")</f>
        <v>나타나다</v>
      </c>
      <c r="F55" s="9" t="s">
        <v>113</v>
      </c>
    </row>
    <row r="56">
      <c r="A56" s="5">
        <v>63.0</v>
      </c>
      <c r="B56" s="6">
        <v>251224.0</v>
      </c>
      <c r="C56" s="4"/>
      <c r="D56" s="7" t="s">
        <v>114</v>
      </c>
      <c r="E56" s="8" t="str">
        <f>IFERROR(__xludf.DUMMYFUNCTION("IF(
  LEN(TRIM(D56))=0,
  ""왼쪽에 영어 문장을 입력하세요"",
  GOOGLETRANSLATE(D56,""en"",""ko"")
)"),"꼭 그럴 필요는 없습니다.")</f>
        <v>꼭 그럴 필요는 없습니다.</v>
      </c>
      <c r="F56" s="9" t="s">
        <v>115</v>
      </c>
    </row>
    <row r="57">
      <c r="A57" s="5">
        <v>65.0</v>
      </c>
      <c r="B57" s="6">
        <v>251224.0</v>
      </c>
      <c r="C57" s="4"/>
      <c r="D57" s="7" t="s">
        <v>116</v>
      </c>
      <c r="E57" s="8" t="str">
        <f>IFERROR(__xludf.DUMMYFUNCTION("IF(
  LEN(TRIM(D57))=0,
  ""왼쪽에 영어 문장을 입력하세요"",
  GOOGLETRANSLATE(D57,""en"",""ko"")
)"),"솔직하게 자신의 생각을 말하다")</f>
        <v>솔직하게 자신의 생각을 말하다</v>
      </c>
      <c r="F57" s="9" t="s">
        <v>117</v>
      </c>
    </row>
    <row r="58">
      <c r="A58" s="5">
        <v>85.0</v>
      </c>
      <c r="B58" s="6">
        <v>251224.0</v>
      </c>
      <c r="C58" s="4"/>
      <c r="D58" s="7" t="s">
        <v>118</v>
      </c>
      <c r="E58" s="8" t="str">
        <f>IFERROR(__xludf.DUMMYFUNCTION("IF(
  LEN(TRIM(D58))=0,
  ""왼쪽에 영어 문장을 입력하세요"",
  GOOGLETRANSLATE(D58,""en"",""ko"")
)"),"누군가의 신경을 건드리다")</f>
        <v>누군가의 신경을 건드리다</v>
      </c>
      <c r="F58" s="9" t="s">
        <v>119</v>
      </c>
    </row>
    <row r="59">
      <c r="A59" s="5">
        <v>87.0</v>
      </c>
      <c r="B59" s="6">
        <v>251224.0</v>
      </c>
      <c r="C59" s="4"/>
      <c r="D59" s="7" t="s">
        <v>120</v>
      </c>
      <c r="E59" s="8" t="str">
        <f>IFERROR(__xludf.DUMMYFUNCTION("IF(
  LEN(TRIM(D59))=0,
  ""왼쪽에 영어 문장을 입력하세요"",
  GOOGLETRANSLATE(D59,""en"",""ko"")
)"),"늦었다")</f>
        <v>늦었다</v>
      </c>
      <c r="F59" s="9" t="s">
        <v>121</v>
      </c>
    </row>
    <row r="60">
      <c r="A60" s="5">
        <v>89.0</v>
      </c>
      <c r="B60" s="6">
        <v>251224.0</v>
      </c>
      <c r="C60" s="4"/>
      <c r="D60" s="7" t="s">
        <v>38</v>
      </c>
      <c r="E60" s="8" t="str">
        <f>IFERROR(__xludf.DUMMYFUNCTION("IF(
  LEN(TRIM(D60))=0,
  ""왼쪽에 영어 문장을 입력하세요"",
  GOOGLETRANSLATE(D60,""en"",""ko"")
)"),"주의 깊게 살펴보세요")</f>
        <v>주의 깊게 살펴보세요</v>
      </c>
      <c r="F60" s="9" t="s">
        <v>122</v>
      </c>
    </row>
    <row r="61">
      <c r="A61" s="5">
        <v>94.0</v>
      </c>
      <c r="B61" s="6">
        <v>251224.0</v>
      </c>
      <c r="C61" s="4"/>
      <c r="D61" s="7" t="s">
        <v>123</v>
      </c>
      <c r="E61" s="8" t="str">
        <f>IFERROR(__xludf.DUMMYFUNCTION("IF(
  LEN(TRIM(D61))=0,
  ""왼쪽에 영어 문장을 입력하세요"",
  GOOGLETRANSLATE(D61,""en"",""ko"")
)"),"뵙기를 기대하겠습니다.")</f>
        <v>뵙기를 기대하겠습니다.</v>
      </c>
      <c r="F61" s="9" t="s">
        <v>124</v>
      </c>
    </row>
    <row r="62">
      <c r="A62" s="5">
        <v>95.0</v>
      </c>
      <c r="B62" s="6">
        <v>251224.0</v>
      </c>
      <c r="C62" s="4"/>
      <c r="D62" s="7" t="s">
        <v>125</v>
      </c>
      <c r="E62" s="8" t="str">
        <f>IFERROR(__xludf.DUMMYFUNCTION("IF(
  LEN(TRIM(D62))=0,
  ""왼쪽에 영어 문장을 입력하세요"",
  GOOGLETRANSLATE(D62,""en"",""ko"")
)"),"이 문제는 초기에 해결해야 합니다.")</f>
        <v>이 문제는 초기에 해결해야 합니다.</v>
      </c>
      <c r="F62" s="9" t="s">
        <v>126</v>
      </c>
    </row>
    <row r="63">
      <c r="A63" s="5">
        <v>96.0</v>
      </c>
      <c r="B63" s="6">
        <v>251224.0</v>
      </c>
      <c r="C63" s="4"/>
      <c r="D63" s="7" t="s">
        <v>127</v>
      </c>
      <c r="E63" s="8" t="str">
        <f>IFERROR(__xludf.DUMMYFUNCTION("IF(
  LEN(TRIM(D63))=0,
  ""왼쪽에 영어 문장을 입력하세요"",
  GOOGLETRANSLATE(D63,""en"",""ko"")
)"),"저는 그냥 분위기를 바꾸고 싶었을 뿐이에요.")</f>
        <v>저는 그냥 분위기를 바꾸고 싶었을 뿐이에요.</v>
      </c>
      <c r="F63" s="9" t="s">
        <v>128</v>
      </c>
    </row>
    <row r="64">
      <c r="A64" s="5">
        <v>97.0</v>
      </c>
      <c r="B64" s="6">
        <v>251224.0</v>
      </c>
      <c r="C64" s="4"/>
      <c r="D64" s="7" t="s">
        <v>129</v>
      </c>
      <c r="E64" s="8" t="str">
        <f>IFERROR(__xludf.DUMMYFUNCTION("IF(
  LEN(TRIM(D64))=0,
  ""왼쪽에 영어 문장을 입력하세요"",
  GOOGLETRANSLATE(D64,""en"",""ko"")
)"),"스트레스를 좀 풀어야겠어요.
퇴근 후에 조깅하러 갈 거예요.")</f>
        <v>스트레스를 좀 풀어야겠어요.
퇴근 후에 조깅하러 갈 거예요.</v>
      </c>
      <c r="F64" s="9" t="s">
        <v>130</v>
      </c>
    </row>
    <row r="65">
      <c r="A65" s="5">
        <v>98.0</v>
      </c>
      <c r="B65" s="6">
        <v>251224.0</v>
      </c>
      <c r="C65" s="4"/>
      <c r="D65" s="7" t="s">
        <v>131</v>
      </c>
      <c r="E65" s="8" t="str">
        <f>IFERROR(__xludf.DUMMYFUNCTION("IF(
  LEN(TRIM(D65))=0,
  ""왼쪽에 영어 문장을 입력하세요"",
  GOOGLETRANSLATE(D65,""en"",""ko"")
)"),"새 직장 첫 출근이야?
응. 이제 살느냐 죽느냐의 문제지.")</f>
        <v>새 직장 첫 출근이야?
응. 이제 살느냐 죽느냐의 문제지.</v>
      </c>
      <c r="F65" s="9"/>
    </row>
    <row r="66">
      <c r="A66" s="5">
        <v>99.0</v>
      </c>
      <c r="B66" s="6">
        <v>251224.0</v>
      </c>
      <c r="C66" s="4"/>
      <c r="D66" s="7" t="s">
        <v>132</v>
      </c>
      <c r="E66" s="8" t="str">
        <f>IFERROR(__xludf.DUMMYFUNCTION("IF(
  LEN(TRIM(D66))=0,
  ""왼쪽에 영어 문장을 입력하세요"",
  GOOGLETRANSLATE(D66,""en"",""ko"")
)"),"우리의 휴가 계획은 아직 정해지지 않았습니다.")</f>
        <v>우리의 휴가 계획은 아직 정해지지 않았습니다.</v>
      </c>
      <c r="F66" s="9"/>
    </row>
    <row r="67">
      <c r="A67" s="5">
        <v>100.0</v>
      </c>
      <c r="B67" s="6">
        <v>251224.0</v>
      </c>
      <c r="C67" s="4"/>
      <c r="D67" s="7" t="s">
        <v>133</v>
      </c>
      <c r="E67" s="8" t="str">
        <f>IFERROR(__xludf.DUMMYFUNCTION("IF(
  LEN(TRIM(D67))=0,
  ""왼쪽에 영어 문장을 입력하세요"",
  GOOGLETRANSLATE(D67,""en"",""ko"")
)"),"거의 유혹에 넘어가 아이스크림을 살 뻔했어.
케이크 있어? 아니, 결국 유혹에 넘어가지 않았어.")</f>
        <v>거의 유혹에 넘어가 아이스크림을 살 뻔했어.
케이크 있어? 아니, 결국 유혹에 넘어가지 않았어.</v>
      </c>
      <c r="F67" s="9" t="s">
        <v>134</v>
      </c>
    </row>
    <row r="68">
      <c r="A68" s="5">
        <v>101.0</v>
      </c>
      <c r="B68" s="6">
        <v>251224.0</v>
      </c>
      <c r="C68" s="4"/>
      <c r="D68" s="7" t="s">
        <v>135</v>
      </c>
      <c r="E68" s="8" t="str">
        <f>IFERROR(__xludf.DUMMYFUNCTION("IF(
  LEN(TRIM(D68))=0,
  ""왼쪽에 영어 문장을 입력하세요"",
  GOOGLETRANSLATE(D68,""en"",""ko"")
)"),"당신의 모든 노력이 결실을 맺고 있어요
매달 50달러씩 저축한 보람이 있네요")</f>
        <v>당신의 모든 노력이 결실을 맺고 있어요
매달 50달러씩 저축한 보람이 있네요</v>
      </c>
      <c r="F68" s="9" t="s">
        <v>136</v>
      </c>
    </row>
    <row r="69">
      <c r="A69" s="5">
        <v>102.0</v>
      </c>
      <c r="B69" s="6">
        <v>251224.0</v>
      </c>
      <c r="C69" s="4"/>
      <c r="D69" s="7" t="s">
        <v>137</v>
      </c>
      <c r="E69" s="8" t="str">
        <f>IFERROR(__xludf.DUMMYFUNCTION("IF(
  LEN(TRIM(D69))=0,
  ""왼쪽에 영어 문장을 입력하세요"",
  GOOGLETRANSLATE(D69,""en"",""ko"")
)"),"디저트 아직도 드세요?
네, 하지만 적당히 드세요")</f>
        <v>디저트 아직도 드세요?
네, 하지만 적당히 드세요</v>
      </c>
      <c r="F69" s="9"/>
    </row>
    <row r="70">
      <c r="A70" s="5">
        <v>103.0</v>
      </c>
      <c r="B70" s="6">
        <v>251224.0</v>
      </c>
      <c r="C70" s="4"/>
      <c r="D70" s="7" t="s">
        <v>138</v>
      </c>
      <c r="E70" s="8" t="str">
        <f>IFERROR(__xludf.DUMMYFUNCTION("IF(
  LEN(TRIM(D70))=0,
  ""왼쪽에 영어 문장을 입력하세요"",
  GOOGLETRANSLATE(D70,""en"",""ko"")
)"),"담배를 갑자기 끊고 하룻밤 사이에 완전히 끊으셨나요?")</f>
        <v>담배를 갑자기 끊고 하룻밤 사이에 완전히 끊으셨나요?</v>
      </c>
      <c r="F70" s="9" t="s">
        <v>139</v>
      </c>
    </row>
    <row r="71">
      <c r="A71" s="5">
        <v>104.0</v>
      </c>
      <c r="B71" s="6">
        <v>251224.0</v>
      </c>
      <c r="C71" s="4"/>
      <c r="D71" s="7" t="s">
        <v>140</v>
      </c>
      <c r="E71" s="8" t="str">
        <f>IFERROR(__xludf.DUMMYFUNCTION("IF(
  LEN(TRIM(D71))=0,
  ""왼쪽에 영어 문장을 입력하세요"",
  GOOGLETRANSLATE(D71,""en"",""ko"")
)"),"새 직장은 어때요?
이제 좀 적응하고 있어요.")</f>
        <v>새 직장은 어때요?
이제 좀 적응하고 있어요.</v>
      </c>
      <c r="F71" s="9" t="s">
        <v>141</v>
      </c>
    </row>
    <row r="72">
      <c r="A72" s="5">
        <v>105.0</v>
      </c>
      <c r="B72" s="6">
        <v>251224.0</v>
      </c>
      <c r="C72" s="4"/>
      <c r="D72" s="7" t="s">
        <v>142</v>
      </c>
      <c r="E72" s="8" t="str">
        <f>IFERROR(__xludf.DUMMYFUNCTION("IF(
  LEN(TRIM(D72))=0,
  ""왼쪽에 영어 문장을 입력하세요"",
  GOOGLETRANSLATE(D72,""en"",""ko"")
)"),"긴장해 보이세요?
상사에게 사실을 말해야 할 것 같아요.
실수했어요.")</f>
        <v>긴장해 보이세요?
상사에게 사실을 말해야 할 것 같아요.
실수했어요.</v>
      </c>
      <c r="F72" s="9" t="s">
        <v>143</v>
      </c>
    </row>
    <row r="73">
      <c r="A73" s="5">
        <v>106.0</v>
      </c>
      <c r="B73" s="6">
        <v>251224.0</v>
      </c>
      <c r="C73" s="4"/>
      <c r="D73" s="7" t="s">
        <v>144</v>
      </c>
      <c r="E73" s="8" t="str">
        <f>IFERROR(__xludf.DUMMYFUNCTION("IF(
  LEN(TRIM(D73))=0,
  ""왼쪽에 영어 문장을 입력하세요"",
  GOOGLETRANSLATE(D73,""en"",""ko"")
)"),"드디어 다시 정상 궤도에 올랐습니다.")</f>
        <v>드디어 다시 정상 궤도에 올랐습니다.</v>
      </c>
      <c r="F73" s="9" t="s">
        <v>145</v>
      </c>
    </row>
    <row r="74">
      <c r="A74" s="5">
        <v>107.0</v>
      </c>
      <c r="B74" s="6">
        <v>251224.0</v>
      </c>
      <c r="C74" s="4"/>
      <c r="D74" s="7" t="s">
        <v>146</v>
      </c>
      <c r="E74" s="8" t="str">
        <f>IFERROR(__xludf.DUMMYFUNCTION("IF(
  LEN(TRIM(D74))=0,
  ""왼쪽에 영어 문장을 입력하세요"",
  GOOGLETRANSLATE(D74,""en"",""ko"")
)"),"노력하면 놀라운 결과를 얻을 수 있을 거예요.
그녀는 스페인어 학습에 매진하여 1년 만에 유창해졌습니다.")</f>
        <v>노력하면 놀라운 결과를 얻을 수 있을 거예요.
그녀는 스페인어 학습에 매진하여 1년 만에 유창해졌습니다.</v>
      </c>
      <c r="F74" s="9" t="s">
        <v>147</v>
      </c>
    </row>
    <row r="75">
      <c r="A75" s="5">
        <v>108.0</v>
      </c>
      <c r="B75" s="6">
        <v>251224.0</v>
      </c>
      <c r="C75" s="4"/>
      <c r="D75" s="7" t="s">
        <v>148</v>
      </c>
      <c r="E75" s="8" t="str">
        <f>IFERROR(__xludf.DUMMYFUNCTION("IF(
  LEN(TRIM(D75))=0,
  ""왼쪽에 영어 문장을 입력하세요"",
  GOOGLETRANSLATE(D75,""en"",""ko"")
)"),"우리는 소프트웨어가 계속 충돌하는 이유를 근본적으로 파악해야 합니다.")</f>
        <v>우리는 소프트웨어가 계속 충돌하는 이유를 근본적으로 파악해야 합니다.</v>
      </c>
      <c r="F75" s="9"/>
    </row>
    <row r="76">
      <c r="A76" s="5">
        <v>109.0</v>
      </c>
      <c r="B76" s="6">
        <v>251224.0</v>
      </c>
      <c r="C76" s="4"/>
      <c r="D76" s="7" t="s">
        <v>149</v>
      </c>
      <c r="E76" s="8" t="str">
        <f>IFERROR(__xludf.DUMMYFUNCTION("IF(
  LEN(TRIM(D76))=0,
  ""왼쪽에 영어 문장을 입력하세요"",
  GOOGLETRANSLATE(D76,""en"",""ko"")
)"),"아직 갈 길이 멀어 보여요.
걱정하지 마세요. 한 걸음씩 차근차근 나아가면 돼요.")</f>
        <v>아직 갈 길이 멀어 보여요.
걱정하지 마세요. 한 걸음씩 차근차근 나아가면 돼요.</v>
      </c>
      <c r="F76" s="9" t="s">
        <v>150</v>
      </c>
    </row>
    <row r="77">
      <c r="A77" s="5">
        <v>110.0</v>
      </c>
      <c r="B77" s="6">
        <v>251224.0</v>
      </c>
      <c r="C77" s="4"/>
      <c r="D77" s="7" t="s">
        <v>151</v>
      </c>
      <c r="E77" s="8" t="str">
        <f>IFERROR(__xludf.DUMMYFUNCTION("IF(
  LEN(TRIM(D77))=0,
  ""왼쪽에 영어 문장을 입력하세요"",
  GOOGLETRANSLATE(D77,""en"",""ko"")
)"),"화장실이 있는지 잘 살펴보세요.
할인 혜택이 있는지 잘 살펴보세요.")</f>
        <v>화장실이 있는지 잘 살펴보세요.
할인 혜택이 있는지 잘 살펴보세요.</v>
      </c>
      <c r="F77" s="9" t="s">
        <v>152</v>
      </c>
    </row>
    <row r="78">
      <c r="A78" s="5">
        <v>111.0</v>
      </c>
      <c r="B78" s="6">
        <v>251224.0</v>
      </c>
      <c r="C78" s="4"/>
      <c r="D78" s="7" t="s">
        <v>153</v>
      </c>
      <c r="E78" s="8" t="str">
        <f>IFERROR(__xludf.DUMMYFUNCTION("IF(
  LEN(TRIM(D78))=0,
  ""왼쪽에 영어 문장을 입력하세요"",
  GOOGLETRANSLATE(D78,""en"",""ko"")
)"),"저는 그 라자냐를 맛있게 먹을 준비가 됐어요.
우리는 하루 종일 칠면조와 속을 채운 요리를 실컷 먹었어요.")</f>
        <v>저는 그 라자냐를 맛있게 먹을 준비가 됐어요.
우리는 하루 종일 칠면조와 속을 채운 요리를 실컷 먹었어요.</v>
      </c>
      <c r="F78" s="9" t="s">
        <v>154</v>
      </c>
    </row>
    <row r="79">
      <c r="A79" s="5">
        <v>112.0</v>
      </c>
      <c r="B79" s="6">
        <v>251224.0</v>
      </c>
      <c r="C79" s="4"/>
      <c r="D79" s="7" t="s">
        <v>155</v>
      </c>
      <c r="E79" s="8" t="str">
        <f>IFERROR(__xludf.DUMMYFUNCTION("IF(
  LEN(TRIM(D79))=0,
  ""왼쪽에 영어 문장을 입력하세요"",
  GOOGLETRANSLATE(D79,""en"",""ko"")
)"),"곰은 음식 냄새에 이끌린다")</f>
        <v>곰은 음식 냄새에 이끌린다</v>
      </c>
      <c r="F79" s="9" t="s">
        <v>156</v>
      </c>
    </row>
    <row r="80">
      <c r="A80" s="5">
        <v>113.0</v>
      </c>
      <c r="B80" s="6">
        <v>251224.0</v>
      </c>
      <c r="C80" s="4"/>
      <c r="D80" s="7" t="s">
        <v>157</v>
      </c>
      <c r="E80" s="8" t="str">
        <f>IFERROR(__xludf.DUMMYFUNCTION("IF(
  LEN(TRIM(D80))=0,
  ""왼쪽에 영어 문장을 입력하세요"",
  GOOGLETRANSLATE(D80,""en"",""ko"")
)"),"어제 우리는 첫 만남부터 사이가 안 좋았던 것 같아요.
새 동료와 첫 만남부터 사이가 안 좋았던 것 같아요.")</f>
        <v>어제 우리는 첫 만남부터 사이가 안 좋았던 것 같아요.
새 동료와 첫 만남부터 사이가 안 좋았던 것 같아요.</v>
      </c>
      <c r="F80" s="9"/>
    </row>
    <row r="81">
      <c r="A81" s="5">
        <v>114.0</v>
      </c>
      <c r="B81" s="6">
        <v>251224.0</v>
      </c>
      <c r="C81" s="4"/>
      <c r="D81" s="7" t="s">
        <v>158</v>
      </c>
      <c r="E81" s="8" t="str">
        <f>IFERROR(__xludf.DUMMYFUNCTION("IF(
  LEN(TRIM(D81))=0,
  ""왼쪽에 영어 문장을 입력하세요"",
  GOOGLETRANSLATE(D81,""en"",""ko"")
)"),"나는 그의 입장에서 생각해 보려고 노력하고 있다.")</f>
        <v>나는 그의 입장에서 생각해 보려고 노력하고 있다.</v>
      </c>
      <c r="F81" s="9" t="s">
        <v>159</v>
      </c>
    </row>
    <row r="82">
      <c r="A82" s="5">
        <v>115.0</v>
      </c>
      <c r="B82" s="6">
        <v>251224.0</v>
      </c>
      <c r="C82" s="4"/>
      <c r="D82" s="7" t="s">
        <v>160</v>
      </c>
      <c r="E82" s="8" t="str">
        <f>IFERROR(__xludf.DUMMYFUNCTION("IF(
  LEN(TRIM(D82))=0,
  ""왼쪽에 영어 문장을 입력하세요"",
  GOOGLETRANSLATE(D82,""en"",""ko"")
)"),"그녀를 좀 봐주자. 가족 문제로 힘든 시간을 보내고 있잖아.
나도 좀 봐줘.")</f>
        <v>그녀를 좀 봐주자. 가족 문제로 힘든 시간을 보내고 있잖아.
나도 좀 봐줘.</v>
      </c>
      <c r="F82" s="9" t="s">
        <v>161</v>
      </c>
    </row>
    <row r="83">
      <c r="A83" s="5">
        <v>116.0</v>
      </c>
      <c r="B83" s="6">
        <v>251224.0</v>
      </c>
      <c r="C83" s="4"/>
      <c r="D83" s="7" t="s">
        <v>162</v>
      </c>
      <c r="E83" s="8" t="str">
        <f>IFERROR(__xludf.DUMMYFUNCTION("IF(
  LEN(TRIM(D83))=0,
  ""왼쪽에 영어 문장을 입력하세요"",
  GOOGLETRANSLATE(D83,""en"",""ko"")
)"),"지금은 어깨에 무리가 가지 않도록 조심하세요.
소금도 조금만 쓰세요.")</f>
        <v>지금은 어깨에 무리가 가지 않도록 조심하세요.
소금도 조금만 쓰세요.</v>
      </c>
      <c r="F83" s="9" t="s">
        <v>163</v>
      </c>
    </row>
    <row r="84">
      <c r="A84" s="5">
        <v>117.0</v>
      </c>
      <c r="B84" s="6">
        <v>251224.0</v>
      </c>
      <c r="C84" s="4"/>
      <c r="D84" s="7" t="s">
        <v>164</v>
      </c>
      <c r="E84" s="8" t="str">
        <f>IFERROR(__xludf.DUMMYFUNCTION("IF(
  LEN(TRIM(D84))=0,
  ""왼쪽에 영어 문장을 입력하세요"",
  GOOGLETRANSLATE(D84,""en"",""ko"")
)"),"양파를 듬뿍 넣어주세요.
소금은 조금만 넣고 치즈는 듬뿍 넣어주세요.
그는 오늘 향수를 많이 뿌렸어요.
요리사는 마늘을 많이 넣었어요.")</f>
        <v>양파를 듬뿍 넣어주세요.
소금은 조금만 넣고 치즈는 듬뿍 넣어주세요.
그는 오늘 향수를 많이 뿌렸어요.
요리사는 마늘을 많이 넣었어요.</v>
      </c>
      <c r="F84" s="9" t="s">
        <v>165</v>
      </c>
    </row>
    <row r="85">
      <c r="A85" s="5">
        <v>118.0</v>
      </c>
      <c r="B85" s="6">
        <v>251224.0</v>
      </c>
      <c r="C85" s="4"/>
      <c r="D85" s="7" t="s">
        <v>166</v>
      </c>
      <c r="E85" s="8" t="str">
        <f>IFERROR(__xludf.DUMMYFUNCTION("IF(
  LEN(TRIM(D85))=0,
  ""왼쪽에 영어 문장을 입력하세요"",
  GOOGLETRANSLATE(D85,""en"",""ko"")
)"),"완전 우울한 사람")</f>
        <v>완전 우울한 사람</v>
      </c>
      <c r="F85" s="9"/>
    </row>
    <row r="86">
      <c r="A86" s="5">
        <v>121.0</v>
      </c>
      <c r="B86" s="6">
        <v>251224.0</v>
      </c>
      <c r="C86" s="4"/>
      <c r="D86" s="7" t="s">
        <v>167</v>
      </c>
      <c r="E86" s="8" t="str">
        <f>IFERROR(__xludf.DUMMYFUNCTION("IF(
  LEN(TRIM(D86))=0,
  ""왼쪽에 영어 문장을 입력하세요"",
  GOOGLETRANSLATE(D86,""en"",""ko"")
)"),"청구서가 잘못됐지만 내가 바로잡았어.
조용히 해, 안 그러면 혼쭐을 내줄 거야.
— 즉, 매를 맞을 거라는 뜻이지.")</f>
        <v>청구서가 잘못됐지만 내가 바로잡았어.
조용히 해, 안 그러면 혼쭐을 내줄 거야.
— 즉, 매를 맞을 거라는 뜻이지.</v>
      </c>
      <c r="F86" s="9" t="s">
        <v>168</v>
      </c>
    </row>
    <row r="87">
      <c r="A87" s="5">
        <v>122.0</v>
      </c>
      <c r="B87" s="6">
        <v>251224.0</v>
      </c>
      <c r="C87" s="4"/>
      <c r="D87" s="7" t="s">
        <v>169</v>
      </c>
      <c r="E87" s="8" t="str">
        <f>IFERROR(__xludf.DUMMYFUNCTION("IF(
  LEN(TRIM(D87))=0,
  ""왼쪽에 영어 문장을 입력하세요"",
  GOOGLETRANSLATE(D87,""en"",""ko"")
)"),"팔이 더 탄탄해 보이네요.
고마워요, 정말 많이 좋아졌어요.
운동을 시작할 때, 근육을 키우고 싶은 게 아니라,
탄탄한 몸매를 만들고 싶었어요.")</f>
        <v>팔이 더 탄탄해 보이네요.
고마워요, 정말 많이 좋아졌어요.
운동을 시작할 때, 근육을 키우고 싶은 게 아니라,
탄탄한 몸매를 만들고 싶었어요.</v>
      </c>
      <c r="F87" s="9" t="s">
        <v>170</v>
      </c>
    </row>
    <row r="88">
      <c r="A88" s="5">
        <v>124.0</v>
      </c>
      <c r="B88" s="6">
        <v>251224.0</v>
      </c>
      <c r="C88" s="4"/>
      <c r="D88" s="7" t="s">
        <v>171</v>
      </c>
      <c r="E88" s="8" t="str">
        <f>IFERROR(__xludf.DUMMYFUNCTION("IF(
  LEN(TRIM(D88))=0,
  ""왼쪽에 영어 문장을 입력하세요"",
  GOOGLETRANSLATE(D88,""en"",""ko"")
)"),"기다리는 동안 같이 있어 줄게요.
같이 있어 줄게요.")</f>
        <v>기다리는 동안 같이 있어 줄게요.
같이 있어 줄게요.</v>
      </c>
      <c r="F88" s="9" t="s">
        <v>172</v>
      </c>
    </row>
    <row r="89">
      <c r="A89" s="5">
        <v>125.0</v>
      </c>
      <c r="B89" s="6">
        <v>251224.0</v>
      </c>
      <c r="C89" s="4"/>
      <c r="D89" s="7" t="s">
        <v>173</v>
      </c>
      <c r="E89" s="8" t="str">
        <f>IFERROR(__xludf.DUMMYFUNCTION("IF(
  LEN(TRIM(D89))=0,
  ""왼쪽에 영어 문장을 입력하세요"",
  GOOGLETRANSLATE(D89,""en"",""ko"")
)"),"우리는 처음 만난 순간부터 마음이 잘 맞았어요.")</f>
        <v>우리는 처음 만난 순간부터 마음이 잘 맞았어요.</v>
      </c>
      <c r="F89" s="9" t="s">
        <v>174</v>
      </c>
    </row>
    <row r="90">
      <c r="A90" s="5">
        <v>126.0</v>
      </c>
      <c r="B90" s="6">
        <v>251224.0</v>
      </c>
      <c r="C90" s="4"/>
      <c r="D90" s="7" t="s">
        <v>175</v>
      </c>
      <c r="E90" s="8" t="str">
        <f>IFERROR(__xludf.DUMMYFUNCTION("IF(
  LEN(TRIM(D90))=0,
  ""왼쪽에 영어 문장을 입력하세요"",
  GOOGLETRANSLATE(D90,""en"",""ko"")
)"),"여행 팁을 찾다가 우연히 당신의 블로그를 발견했어요.")</f>
        <v>여행 팁을 찾다가 우연히 당신의 블로그를 발견했어요.</v>
      </c>
      <c r="F90" s="9" t="s">
        <v>176</v>
      </c>
    </row>
    <row r="91">
      <c r="A91" s="5">
        <v>127.0</v>
      </c>
      <c r="B91" s="6">
        <v>251224.0</v>
      </c>
      <c r="C91" s="4"/>
      <c r="D91" s="7" t="s">
        <v>177</v>
      </c>
      <c r="E91" s="8" t="str">
        <f>IFERROR(__xludf.DUMMYFUNCTION("IF(
  LEN(TRIM(D91))=0,
  ""왼쪽에 영어 문장을 입력하세요"",
  GOOGLETRANSLATE(D91,""en"",""ko"")
)"),"시립 박물관으로 가는 길을 알려주시겠어요?")</f>
        <v>시립 박물관으로 가는 길을 알려주시겠어요?</v>
      </c>
      <c r="F91" s="9" t="s">
        <v>178</v>
      </c>
    </row>
    <row r="92">
      <c r="A92" s="5">
        <v>128.0</v>
      </c>
      <c r="B92" s="6">
        <v>251224.0</v>
      </c>
      <c r="C92" s="4"/>
      <c r="D92" s="7" t="s">
        <v>179</v>
      </c>
      <c r="E92" s="8" t="str">
        <f>IFERROR(__xludf.DUMMYFUNCTION("IF(
  LEN(TRIM(D92))=0,
  ""왼쪽에 영어 문장을 입력하세요"",
  GOOGLETRANSLATE(D92,""en"",""ko"")
)"),"그냥 조금씩 집어 먹지 마세요. 그 스튜는 음미하며 먹어야 제맛이에요.")</f>
        <v>그냥 조금씩 집어 먹지 마세요. 그 스튜는 음미하며 먹어야 제맛이에요.</v>
      </c>
      <c r="F92" s="9" t="s">
        <v>180</v>
      </c>
    </row>
    <row r="93">
      <c r="A93" s="5">
        <v>129.0</v>
      </c>
      <c r="B93" s="6">
        <v>251224.0</v>
      </c>
      <c r="C93" s="4"/>
      <c r="D93" s="7" t="s">
        <v>181</v>
      </c>
      <c r="E93" s="8" t="str">
        <f>IFERROR(__xludf.DUMMYFUNCTION("IF(
  LEN(TRIM(D93))=0,
  ""왼쪽에 영어 문장을 입력하세요"",
  GOOGLETRANSLATE(D93,""en"",""ko"")
)"),"그리고 오늘 밤 파티는 그야말로 금상첨화가 될 거예요.")</f>
        <v>그리고 오늘 밤 파티는 그야말로 금상첨화가 될 거예요.</v>
      </c>
      <c r="F93" s="9"/>
    </row>
    <row r="94">
      <c r="A94" s="5">
        <v>130.0</v>
      </c>
      <c r="B94" s="6">
        <v>251224.0</v>
      </c>
      <c r="C94" s="4"/>
      <c r="D94" s="7" t="s">
        <v>182</v>
      </c>
      <c r="E94" s="8" t="str">
        <f>IFERROR(__xludf.DUMMYFUNCTION("IF(
  LEN(TRIM(D94))=0,
  ""왼쪽에 영어 문장을 입력하세요"",
  GOOGLETRANSLATE(D94,""en"",""ko"")
)"),"냉장고를 확인해 봐. 냉장고에서 무슨 냄새가 나지?
남은 닭고기가 상했나 봐.
뭔가 냄새가 지독하네. 우유가 상했나?")</f>
        <v>냉장고를 확인해 봐. 냉장고에서 무슨 냄새가 나지?
남은 닭고기가 상했나 봐.
뭔가 냄새가 지독하네. 우유가 상했나?</v>
      </c>
      <c r="F94" s="9" t="s">
        <v>183</v>
      </c>
    </row>
    <row r="95">
      <c r="A95" s="5">
        <v>131.0</v>
      </c>
      <c r="B95" s="6">
        <v>251224.0</v>
      </c>
      <c r="C95" s="4"/>
      <c r="D95" s="7" t="s">
        <v>184</v>
      </c>
      <c r="E95" s="8" t="str">
        <f>IFERROR(__xludf.DUMMYFUNCTION("IF(
  LEN(TRIM(D95))=0,
  ""왼쪽에 영어 문장을 입력하세요"",
  GOOGLETRANSLATE(D95,""en"",""ko"")
)"),"짜증나 보이시네요. 괜찮아요.
솔직히 말해서, 회사에서 이렇게 막판에 바뀌는 일들이 너무 지겨워요.
당신의 태도가 마음에 안 들어요.
이런 관료주의가 정말 지긋지긋해요.")</f>
        <v>짜증나 보이시네요. 괜찮아요.
솔직히 말해서, 회사에서 이렇게 막판에 바뀌는 일들이 너무 지겨워요.
당신의 태도가 마음에 안 들어요.
이런 관료주의가 정말 지긋지긋해요.</v>
      </c>
      <c r="F95" s="9" t="s">
        <v>185</v>
      </c>
    </row>
    <row r="96">
      <c r="A96" s="5">
        <v>132.0</v>
      </c>
      <c r="B96" s="6">
        <v>251224.0</v>
      </c>
      <c r="C96" s="4"/>
      <c r="D96" s="7" t="s">
        <v>186</v>
      </c>
      <c r="E96" s="8" t="str">
        <f>IFERROR(__xludf.DUMMYFUNCTION("IF(
  LEN(TRIM(D96))=0,
  ""왼쪽에 영어 문장을 입력하세요"",
  GOOGLETRANSLATE(D96,""en"",""ko"")
)"),"이 부분이 힘들죠. 하지만 할 수 있어요, 그냥 버텨내세요.
그녀는 고통을 참고 세트를 끝냈습니다.")</f>
        <v>이 부분이 힘들죠. 하지만 할 수 있어요, 그냥 버텨내세요.
그녀는 고통을 참고 세트를 끝냈습니다.</v>
      </c>
      <c r="F96" s="9" t="s">
        <v>187</v>
      </c>
    </row>
    <row r="97">
      <c r="A97" s="5">
        <v>133.0</v>
      </c>
      <c r="B97" s="6">
        <v>251224.0</v>
      </c>
      <c r="C97" s="4"/>
      <c r="D97" s="7" t="s">
        <v>188</v>
      </c>
      <c r="E97" s="8" t="str">
        <f>IFERROR(__xludf.DUMMYFUNCTION("IF(
  LEN(TRIM(D97))=0,
  ""왼쪽에 영어 문장을 입력하세요"",
  GOOGLETRANSLATE(D97,""en"",""ko"")
)"),"그렇지 않나요?
당신에게 가장 좋은 것들은 당신이 가장 하기 싫어하는 것들이에요.")</f>
        <v>그렇지 않나요?
당신에게 가장 좋은 것들은 당신이 가장 하기 싫어하는 것들이에요.</v>
      </c>
      <c r="F97" s="9" t="s">
        <v>189</v>
      </c>
    </row>
    <row r="98">
      <c r="A98" s="5">
        <v>134.0</v>
      </c>
      <c r="B98" s="6">
        <v>251224.0</v>
      </c>
      <c r="C98" s="4"/>
      <c r="D98" s="7" t="s">
        <v>190</v>
      </c>
      <c r="E98" s="8" t="str">
        <f>IFERROR(__xludf.DUMMYFUNCTION("IF(
  LEN(TRIM(D98))=0,
  ""왼쪽에 영어 문장을 입력하세요"",
  GOOGLETRANSLATE(D98,""en"",""ko"")
)"),"상황이 나아지고 있어요. 회사가 전환점을 맞이한 것 같아요.
저도 전환점을 맞이하고 있어요.")</f>
        <v>상황이 나아지고 있어요. 회사가 전환점을 맞이한 것 같아요.
저도 전환점을 맞이하고 있어요.</v>
      </c>
      <c r="F98" s="9" t="s">
        <v>191</v>
      </c>
    </row>
    <row r="99">
      <c r="A99" s="5">
        <v>135.0</v>
      </c>
      <c r="B99" s="6">
        <v>251224.0</v>
      </c>
      <c r="C99" s="4"/>
      <c r="D99" s="7" t="s">
        <v>192</v>
      </c>
      <c r="E99" s="8" t="str">
        <f>IFERROR(__xludf.DUMMYFUNCTION("IF(
  LEN(TRIM(D99))=0,
  ""왼쪽에 영어 문장을 입력하세요"",
  GOOGLETRANSLATE(D99,""en"",""ko"")
)"),"그녀는 언제나 나를 위해 특별히 요리를 해 줘요.
나는 당신을 행복하게 해 드리려고 정말 최선을 다해요.")</f>
        <v>그녀는 언제나 나를 위해 특별히 요리를 해 줘요.
나는 당신을 행복하게 해 드리려고 정말 최선을 다해요.</v>
      </c>
      <c r="F99" s="9" t="s">
        <v>193</v>
      </c>
    </row>
    <row r="100">
      <c r="A100" s="5">
        <v>136.0</v>
      </c>
      <c r="B100" s="6">
        <v>251224.0</v>
      </c>
      <c r="C100" s="4"/>
      <c r="D100" s="7" t="s">
        <v>194</v>
      </c>
      <c r="E100" s="8" t="str">
        <f>IFERROR(__xludf.DUMMYFUNCTION("IF(
  LEN(TRIM(D100))=0,
  ""왼쪽에 영어 문장을 입력하세요"",
  GOOGLETRANSLATE(D100,""en"",""ko"")
)"),"저는 제 몫을 다하려고 노력합니다.")</f>
        <v>저는 제 몫을 다하려고 노력합니다.</v>
      </c>
      <c r="F100" s="9" t="s">
        <v>195</v>
      </c>
    </row>
    <row r="101">
      <c r="A101" s="5">
        <v>138.0</v>
      </c>
      <c r="B101" s="6">
        <v>251224.0</v>
      </c>
      <c r="C101" s="4"/>
      <c r="D101" s="7" t="s">
        <v>196</v>
      </c>
      <c r="E101" s="8" t="str">
        <f>IFERROR(__xludf.DUMMYFUNCTION("IF(
  LEN(TRIM(D101))=0,
  ""왼쪽에 영어 문장을 입력하세요"",
  GOOGLETRANSLATE(D101,""en"",""ko"")
)"),"저는 외출하기 전에 그곳의 분위기를 느껴보는 걸 좋아해요.")</f>
        <v>저는 외출하기 전에 그곳의 분위기를 느껴보는 걸 좋아해요.</v>
      </c>
      <c r="F101" s="9" t="s">
        <v>197</v>
      </c>
    </row>
    <row r="102">
      <c r="A102" s="5">
        <v>139.0</v>
      </c>
      <c r="B102" s="6">
        <v>251224.0</v>
      </c>
      <c r="C102" s="4"/>
      <c r="D102" s="7" t="s">
        <v>198</v>
      </c>
      <c r="E102" s="8" t="str">
        <f>IFERROR(__xludf.DUMMYFUNCTION("IF(
  LEN(TRIM(D102))=0,
  ""왼쪽에 영어 문장을 입력하세요"",
  GOOGLETRANSLATE(D102,""en"",""ko"")
)"),"정말 편안한 호스텔 같네요.
그는 정말 편안한 사람이에요. 어떤 일에도 짜증을 내지 않아요.")</f>
        <v>정말 편안한 호스텔 같네요.
그는 정말 편안한 사람이에요. 어떤 일에도 짜증을 내지 않아요.</v>
      </c>
      <c r="F102" s="9" t="s">
        <v>199</v>
      </c>
    </row>
    <row r="103">
      <c r="A103" s="5">
        <v>140.0</v>
      </c>
      <c r="B103" s="6">
        <v>251224.0</v>
      </c>
      <c r="C103" s="4"/>
      <c r="D103" s="7" t="s">
        <v>200</v>
      </c>
      <c r="E103" s="8" t="str">
        <f>IFERROR(__xludf.DUMMYFUNCTION("IF(
  LEN(TRIM(D103))=0,
  ""왼쪽에 영어 문장을 입력하세요"",
  GOOGLETRANSLATE(D103,""en"",""ko"")
)"),"케이크 마지막 조각 먹었어? 맞아.
단 거 엄청 좋아하는 거 알아.
맞아.
난 단 거 보면 말처럼 먹어대.")</f>
        <v>케이크 마지막 조각 먹었어? 맞아.
단 거 엄청 좋아하는 거 알아.
맞아.
난 단 거 보면 말처럼 먹어대.</v>
      </c>
      <c r="F103" s="9" t="s">
        <v>201</v>
      </c>
    </row>
    <row r="104">
      <c r="A104" s="5">
        <v>141.0</v>
      </c>
      <c r="B104" s="6">
        <v>251224.0</v>
      </c>
      <c r="C104" s="4"/>
      <c r="D104" s="7" t="s">
        <v>202</v>
      </c>
      <c r="E104" s="8" t="str">
        <f>IFERROR(__xludf.DUMMYFUNCTION("IF(
  LEN(TRIM(D104))=0,
  ""왼쪽에 영어 문장을 입력하세요"",
  GOOGLETRANSLATE(D104,""en"",""ko"")
)"),"그는 너무 말랐는데, 엄청나게 먹어요.")</f>
        <v>그는 너무 말랐는데, 엄청나게 먹어요.</v>
      </c>
      <c r="F104" s="9" t="s">
        <v>203</v>
      </c>
    </row>
    <row r="105">
      <c r="A105" s="5">
        <v>142.0</v>
      </c>
      <c r="B105" s="6">
        <v>251224.0</v>
      </c>
      <c r="C105" s="4"/>
      <c r="D105" s="7" t="s">
        <v>204</v>
      </c>
      <c r="E105" s="8" t="str">
        <f>IFERROR(__xludf.DUMMYFUNCTION("IF(
  LEN(TRIM(D105))=0,
  ""왼쪽에 영어 문장을 입력하세요"",
  GOOGLETRANSLATE(D105,""en"",""ko"")
)"),"저를 생각해 주셔서 감사합니다.")</f>
        <v>저를 생각해 주셔서 감사합니다.</v>
      </c>
      <c r="F105" s="9" t="s">
        <v>205</v>
      </c>
    </row>
    <row r="106">
      <c r="A106" s="5">
        <v>143.0</v>
      </c>
      <c r="B106" s="6">
        <v>251224.0</v>
      </c>
      <c r="C106" s="4"/>
      <c r="D106" s="7" t="s">
        <v>206</v>
      </c>
      <c r="E106" s="8" t="str">
        <f>IFERROR(__xludf.DUMMYFUNCTION("IF(
  LEN(TRIM(D106))=0,
  ""왼쪽에 영어 문장을 입력하세요"",
  GOOGLETRANSLATE(D106,""en"",""ko"")
)"),"우유 한 잔 가져다 드릴게요, 같이 드세요.")</f>
        <v>우유 한 잔 가져다 드릴게요, 같이 드세요.</v>
      </c>
      <c r="F106" s="9" t="s">
        <v>207</v>
      </c>
    </row>
    <row r="107">
      <c r="A107" s="5">
        <v>144.0</v>
      </c>
      <c r="B107" s="6">
        <v>251224.0</v>
      </c>
      <c r="C107" s="4"/>
      <c r="D107" s="7" t="s">
        <v>208</v>
      </c>
      <c r="E107" s="8" t="str">
        <f>IFERROR(__xludf.DUMMYFUNCTION("IF(
  LEN(TRIM(D107))=0,
  ""왼쪽에 영어 문장을 입력하세요"",
  GOOGLETRANSLATE(D107,""en"",""ko"")
)"),"그 다큐멘터리가 정말 제 눈을 뜨게 해줬어요.
동감이에요. 제가 전혀 몰랐던 문제들을 알게 해줬어요.")</f>
        <v>그 다큐멘터리가 정말 제 눈을 뜨게 해줬어요.
동감이에요. 제가 전혀 몰랐던 문제들을 알게 해줬어요.</v>
      </c>
      <c r="F107" s="9" t="s">
        <v>209</v>
      </c>
    </row>
    <row r="108">
      <c r="A108" s="5">
        <v>145.0</v>
      </c>
      <c r="B108" s="6">
        <v>251224.0</v>
      </c>
      <c r="C108" s="4"/>
      <c r="D108" s="7" t="s">
        <v>210</v>
      </c>
      <c r="E108" s="8" t="str">
        <f>IFERROR(__xludf.DUMMYFUNCTION("IF(
  LEN(TRIM(D108))=0,
  ""왼쪽에 영어 문장을 입력하세요"",
  GOOGLETRANSLATE(D108,""en"",""ko"")
)"),"그것은 그가 어떤 사람인지를 확실히 보여주었다.
겉모습은 양 같았지만, 그는 사실 늑대였다.")</f>
        <v>그것은 그가 어떤 사람인지를 확실히 보여주었다.
겉모습은 양 같았지만, 그는 사실 늑대였다.</v>
      </c>
      <c r="F108" s="9" t="s">
        <v>211</v>
      </c>
    </row>
    <row r="109">
      <c r="A109" s="5">
        <v>146.0</v>
      </c>
      <c r="B109" s="6">
        <v>251224.0</v>
      </c>
      <c r="C109" s="4"/>
      <c r="D109" s="7" t="s">
        <v>212</v>
      </c>
      <c r="E109" s="8" t="str">
        <f>IFERROR(__xludf.DUMMYFUNCTION("IF(
  LEN(TRIM(D109))=0,
  ""왼쪽에 영어 문장을 입력하세요"",
  GOOGLETRANSLATE(D109,""en"",""ko"")
)"),"장담하건대, 저희는 고객님의 컴퓨터 문제를 해결하기 위해 최선을 다해왔습니다.")</f>
        <v>장담하건대, 저희는 고객님의 컴퓨터 문제를 해결하기 위해 최선을 다해왔습니다.</v>
      </c>
      <c r="F109" s="9" t="s">
        <v>213</v>
      </c>
    </row>
    <row r="110">
      <c r="A110" s="5">
        <v>147.0</v>
      </c>
      <c r="B110" s="6">
        <v>251224.0</v>
      </c>
      <c r="C110" s="4"/>
      <c r="D110" s="7" t="s">
        <v>214</v>
      </c>
      <c r="E110" s="8" t="str">
        <f>IFERROR(__xludf.DUMMYFUNCTION("IF(
  LEN(TRIM(D110))=0,
  ""왼쪽에 영어 문장을 입력하세요"",
  GOOGLETRANSLATE(D110,""en"",""ko"")
)"),"이해합니다. 하지만 너무 과장하지는 맙시다.
거의 해결될 것 같습니다.")</f>
        <v>이해합니다. 하지만 너무 과장하지는 맙시다.
거의 해결될 것 같습니다.</v>
      </c>
      <c r="F110" s="9" t="s">
        <v>215</v>
      </c>
    </row>
    <row r="111">
      <c r="A111" s="5">
        <v>148.0</v>
      </c>
      <c r="B111" s="6">
        <v>251224.0</v>
      </c>
      <c r="C111" s="4"/>
      <c r="D111" s="7" t="s">
        <v>216</v>
      </c>
      <c r="E111" s="8" t="str">
        <f>IFERROR(__xludf.DUMMYFUNCTION("IF(
  LEN(TRIM(D111))=0,
  ""왼쪽에 영어 문장을 입력하세요"",
  GOOGLETRANSLATE(D111,""en"",""ko"")
)"),"달리기를 하다가 중간쯤에서 한계에 부딪혔어요.")</f>
        <v>달리기를 하다가 중간쯤에서 한계에 부딪혔어요.</v>
      </c>
      <c r="F111" s="9" t="s">
        <v>217</v>
      </c>
    </row>
    <row r="112">
      <c r="A112" s="5">
        <v>149.0</v>
      </c>
      <c r="B112" s="6">
        <v>251224.0</v>
      </c>
      <c r="C112" s="4"/>
      <c r="D112" s="7" t="s">
        <v>218</v>
      </c>
      <c r="E112" s="8" t="str">
        <f>IFERROR(__xludf.DUMMYFUNCTION("IF(
  LEN(TRIM(D112))=0,
  ""왼쪽에 영어 문장을 입력하세요"",
  GOOGLETRANSLATE(D112,""en"",""ko"")
)"),"오늘 안 올 뻔했어요.
와주셔서 정말 다행이에요. 중요한 일이거든요.")</f>
        <v>오늘 안 올 뻔했어요.
와주셔서 정말 다행이에요. 중요한 일이거든요.</v>
      </c>
      <c r="F112" s="9" t="s">
        <v>219</v>
      </c>
    </row>
    <row r="113">
      <c r="A113" s="5">
        <v>150.0</v>
      </c>
      <c r="B113" s="6">
        <v>251224.0</v>
      </c>
      <c r="C113" s="4"/>
      <c r="D113" s="7" t="s">
        <v>220</v>
      </c>
      <c r="E113" s="8" t="str">
        <f>IFERROR(__xludf.DUMMYFUNCTION("IF(
  LEN(TRIM(D113))=0,
  ""왼쪽에 영어 문장을 입력하세요"",
  GOOGLETRANSLATE(D113,""en"",""ko"")
)"),"일단 나타나는 것만으로도 절반은 성공한 셈입니다.")</f>
        <v>일단 나타나는 것만으로도 절반은 성공한 셈입니다.</v>
      </c>
      <c r="F113" s="9" t="s">
        <v>221</v>
      </c>
    </row>
    <row r="114">
      <c r="A114" s="5">
        <v>151.0</v>
      </c>
      <c r="B114" s="6">
        <v>251224.0</v>
      </c>
      <c r="C114" s="4"/>
      <c r="D114" s="7" t="s">
        <v>222</v>
      </c>
      <c r="E114" s="8" t="str">
        <f>IFERROR(__xludf.DUMMYFUNCTION("IF(
  LEN(TRIM(D114))=0,
  ""왼쪽에 영어 문장을 입력하세요"",
  GOOGLETRANSLATE(D114,""en"",""ko"")
)"),"꼭 그렇지는 않습니다. 주식 시장은 항상 변동합니다.")</f>
        <v>꼭 그렇지는 않습니다. 주식 시장은 항상 변동합니다.</v>
      </c>
      <c r="F114" s="9" t="s">
        <v>223</v>
      </c>
    </row>
    <row r="115">
      <c r="A115" s="5">
        <v>152.0</v>
      </c>
      <c r="B115" s="6">
        <v>251224.0</v>
      </c>
      <c r="C115" s="4"/>
      <c r="D115" s="7" t="s">
        <v>224</v>
      </c>
      <c r="E115" s="8" t="str">
        <f>IFERROR(__xludf.DUMMYFUNCTION("IF(
  LEN(TRIM(D115))=0,
  ""왼쪽에 영어 문장을 입력하세요"",
  GOOGLETRANSLATE(D115,""en"",""ko"")
)"),"그는 회의에서도 항상 솔직하게 자신의 생각을 말한다.")</f>
        <v>그는 회의에서도 항상 솔직하게 자신의 생각을 말한다.</v>
      </c>
      <c r="F115" s="9" t="s">
        <v>225</v>
      </c>
    </row>
    <row r="116">
      <c r="A116" s="5">
        <v>153.0</v>
      </c>
      <c r="B116" s="6">
        <v>251224.0</v>
      </c>
      <c r="C116" s="4"/>
      <c r="D116" s="7" t="s">
        <v>226</v>
      </c>
      <c r="E116" s="8" t="str">
        <f>IFERROR(__xludf.DUMMYFUNCTION("IF(
  LEN(TRIM(D116))=0,
  ""왼쪽에 영어 문장을 입력하세요"",
  GOOGLETRANSLATE(D116,""en"",""ko"")
)"),"그녀는 모든 것에 대해 솔직하게 말하는 경향이 있다.
너무 솔직하게 말하는 경향이 있다.")</f>
        <v>그녀는 모든 것에 대해 솔직하게 말하는 경향이 있다.
너무 솔직하게 말하는 경향이 있다.</v>
      </c>
      <c r="F116" s="9" t="s">
        <v>227</v>
      </c>
    </row>
    <row r="117">
      <c r="A117" s="5">
        <v>154.0</v>
      </c>
      <c r="B117" s="6">
        <v>251224.0</v>
      </c>
      <c r="C117" s="4"/>
      <c r="D117" s="7" t="s">
        <v>228</v>
      </c>
      <c r="E117" s="8" t="str">
        <f>IFERROR(__xludf.DUMMYFUNCTION("IF(
  LEN(TRIM(D117))=0,
  ""왼쪽에 영어 문장을 입력하세요"",
  GOOGLETRANSLATE(D117,""en"",""ko"")
)"),"그녀가 내 사생활에 대해 물어볼 때면 좀 거슬려요.")</f>
        <v>그녀가 내 사생활에 대해 물어볼 때면 좀 거슬려요.</v>
      </c>
      <c r="F117" s="9" t="s">
        <v>229</v>
      </c>
    </row>
    <row r="118">
      <c r="A118" s="5">
        <v>155.0</v>
      </c>
      <c r="B118" s="6">
        <v>251224.0</v>
      </c>
      <c r="C118" s="4"/>
      <c r="D118" s="7" t="s">
        <v>230</v>
      </c>
      <c r="E118" s="8" t="str">
        <f>IFERROR(__xludf.DUMMYFUNCTION("IF(
  LEN(TRIM(D118))=0,
  ""왼쪽에 영어 문장을 입력하세요"",
  GOOGLETRANSLATE(D118,""en"",""ko"")
)"),"그의 무례한 말들은 정말 내 심기를 건드린다.")</f>
        <v>그의 무례한 말들은 정말 내 심기를 건드린다.</v>
      </c>
      <c r="F118" s="9" t="s">
        <v>231</v>
      </c>
    </row>
    <row r="119">
      <c r="A119" s="5">
        <v>156.0</v>
      </c>
      <c r="B119" s="6">
        <v>251224.0</v>
      </c>
      <c r="C119" s="4"/>
      <c r="D119" s="7" t="s">
        <v>232</v>
      </c>
      <c r="E119" s="8" t="str">
        <f>IFERROR(__xludf.DUMMYFUNCTION("IF(
  LEN(TRIM(D119))=0,
  ""왼쪽에 영어 문장을 입력하세요"",
  GOOGLETRANSLATE(D119,""en"",""ko"")
)"),"거의 다 왔어?
늦었어. 하지만 10분 안에 도착할게.")</f>
        <v>거의 다 왔어?
늦었어. 하지만 10분 안에 도착할게.</v>
      </c>
      <c r="F119" s="9" t="s">
        <v>233</v>
      </c>
    </row>
    <row r="120">
      <c r="A120" s="5">
        <v>157.0</v>
      </c>
      <c r="B120" s="6">
        <v>251224.0</v>
      </c>
      <c r="C120" s="4"/>
      <c r="D120" s="7" t="s">
        <v>234</v>
      </c>
      <c r="E120" s="8" t="str">
        <f>IFERROR(__xludf.DUMMYFUNCTION("IF(
  LEN(TRIM(D120))=0,
  ""왼쪽에 영어 문장을 입력하세요"",
  GOOGLETRANSLATE(D120,""en"",""ko"")
)"),"교통 체증이 너무 심해서 늦었어요.")</f>
        <v>교통 체증이 너무 심해서 늦었어요.</v>
      </c>
      <c r="F120" s="9" t="s">
        <v>235</v>
      </c>
    </row>
    <row r="121">
      <c r="A121" s="5">
        <v>158.0</v>
      </c>
      <c r="B121" s="6">
        <v>251224.0</v>
      </c>
      <c r="C121" s="4"/>
      <c r="D121" s="7" t="s">
        <v>236</v>
      </c>
      <c r="E121" s="8" t="str">
        <f>IFERROR(__xludf.DUMMYFUNCTION("IF(
  LEN(TRIM(D121))=0,
  ""왼쪽에 영어 문장을 입력하세요"",
  GOOGLETRANSLATE(D121,""en"",""ko"")
)"),"쇼핑할 때 할인 행사가 있는지 잘 살펴보세요.")</f>
        <v>쇼핑할 때 할인 행사가 있는지 잘 살펴보세요.</v>
      </c>
      <c r="F121" s="9" t="s">
        <v>237</v>
      </c>
    </row>
    <row r="122">
      <c r="A122" s="5">
        <v>159.0</v>
      </c>
      <c r="B122" s="6">
        <v>251224.0</v>
      </c>
      <c r="C122" s="4"/>
      <c r="D122" s="7" t="s">
        <v>238</v>
      </c>
      <c r="E122" s="8" t="str">
        <f>IFERROR(__xludf.DUMMYFUNCTION("IF(
  LEN(TRIM(D122))=0,
  ""왼쪽에 영어 문장을 입력하세요"",
  GOOGLETRANSLATE(D122,""en"",""ko"")
)"),"네가 파티에 안 올 줄 알았어.")</f>
        <v>네가 파티에 안 올 줄 알았어.</v>
      </c>
      <c r="F122" s="9" t="s">
        <v>239</v>
      </c>
    </row>
    <row r="123">
      <c r="A123" s="5">
        <v>160.0</v>
      </c>
      <c r="B123" s="6">
        <v>251224.0</v>
      </c>
      <c r="C123" s="4"/>
      <c r="D123" s="7" t="s">
        <v>240</v>
      </c>
      <c r="E123" s="8" t="str">
        <f>IFERROR(__xludf.DUMMYFUNCTION("IF(
  LEN(TRIM(D123))=0,
  ""왼쪽에 영어 문장을 입력하세요"",
  GOOGLETRANSLATE(D123,""en"",""ko"")
)"),"공항까지 데려다 줄 사람이 필요할 것 같아서요.")</f>
        <v>공항까지 데려다 줄 사람이 필요할 것 같아서요.</v>
      </c>
      <c r="F123" s="9" t="s">
        <v>241</v>
      </c>
    </row>
    <row r="124" ht="20.25" customHeight="1">
      <c r="A124" s="5">
        <v>161.0</v>
      </c>
      <c r="B124" s="6">
        <v>251224.0</v>
      </c>
      <c r="C124" s="4"/>
      <c r="D124" s="7" t="s">
        <v>242</v>
      </c>
      <c r="E124" s="8" t="str">
        <f>IFERROR(__xludf.DUMMYFUNCTION("IF(
  LEN(TRIM(D124))=0,
  ""왼쪽에 영어 문장을 입력하세요"",
  GOOGLETRANSLATE(D124,""en"",""ko"")
)"),"내 사회적 에너지가 고갈됐어")</f>
        <v>내 사회적 에너지가 고갈됐어</v>
      </c>
    </row>
    <row r="125" ht="20.25" customHeight="1">
      <c r="A125" s="5">
        <v>162.0</v>
      </c>
      <c r="B125" s="6">
        <v>251224.0</v>
      </c>
      <c r="C125" s="4"/>
      <c r="D125" s="7" t="s">
        <v>243</v>
      </c>
      <c r="E125" s="8" t="str">
        <f>IFERROR(__xludf.DUMMYFUNCTION("IF(
  LEN(TRIM(D125))=0,
  ""왼쪽에 영어 문장을 입력하세요"",
  GOOGLETRANSLATE(D125,""en"",""ko"")
)"),"여기 분위기 끝내주네")</f>
        <v>여기 분위기 끝내주네</v>
      </c>
    </row>
    <row r="126" ht="20.25" customHeight="1">
      <c r="A126" s="5">
        <v>163.0</v>
      </c>
      <c r="B126" s="6">
        <v>251224.0</v>
      </c>
      <c r="C126" s="4"/>
      <c r="D126" s="7" t="s">
        <v>244</v>
      </c>
      <c r="E126" s="8" t="str">
        <f>IFERROR(__xludf.DUMMYFUNCTION("IF(
  LEN(TRIM(D126))=0,
  ""왼쪽에 영어 문장을 입력하세요"",
  GOOGLETRANSLATE(D126,""en"",""ko"")
)"),"우연히 발견했어요")</f>
        <v>우연히 발견했어요</v>
      </c>
    </row>
    <row r="127" ht="20.25" customHeight="1">
      <c r="A127" s="5">
        <v>164.0</v>
      </c>
      <c r="B127" s="6">
        <v>251224.0</v>
      </c>
      <c r="C127" s="4"/>
      <c r="D127" s="7" t="s">
        <v>245</v>
      </c>
      <c r="E127" s="8" t="str">
        <f>IFERROR(__xludf.DUMMYFUNCTION("IF(
  LEN(TRIM(D127))=0,
  ""왼쪽에 영어 문장을 입력하세요"",
  GOOGLETRANSLATE(D127,""en"",""ko"")
)"),"늦잠을 아주 잘 잤어요.")</f>
        <v>늦잠을 아주 잘 잤어요.</v>
      </c>
    </row>
    <row r="128" ht="20.25" customHeight="1">
      <c r="A128" s="5">
        <v>165.0</v>
      </c>
      <c r="B128" s="6">
        <v>251224.0</v>
      </c>
      <c r="C128" s="4"/>
      <c r="D128" s="7" t="s">
        <v>246</v>
      </c>
      <c r="E128" s="8" t="str">
        <f>IFERROR(__xludf.DUMMYFUNCTION("IF(
  LEN(TRIM(D128))=0,
  ""왼쪽에 영어 문장을 입력하세요"",
  GOOGLETRANSLATE(D128,""en"",""ko"")
)"),"생각해 볼게요.")</f>
        <v>생각해 볼게요.</v>
      </c>
    </row>
    <row r="129" ht="20.25" customHeight="1">
      <c r="A129" s="5">
        <v>166.0</v>
      </c>
      <c r="B129" s="6">
        <v>251224.0</v>
      </c>
      <c r="C129" s="4"/>
      <c r="D129" s="7" t="s">
        <v>247</v>
      </c>
      <c r="E129" s="8" t="str">
        <f>IFERROR(__xludf.DUMMYFUNCTION("IF(
  LEN(TRIM(D129))=0,
  ""왼쪽에 영어 문장을 입력하세요"",
  GOOGLETRANSLATE(D129,""en"",""ko"")
)"),"생각해 보겠습니다.")</f>
        <v>생각해 보겠습니다.</v>
      </c>
    </row>
    <row r="130" ht="20.25" customHeight="1">
      <c r="A130" s="5">
        <v>167.0</v>
      </c>
      <c r="B130" s="6">
        <v>251224.0</v>
      </c>
      <c r="C130" s="4"/>
      <c r="D130" s="7" t="s">
        <v>248</v>
      </c>
      <c r="E130" s="8" t="str">
        <f>IFERROR(__xludf.DUMMYFUNCTION("IF(
  LEN(TRIM(D130))=0,
  ""왼쪽에 영어 문장을 입력하세요"",
  GOOGLETRANSLATE(D130,""en"",""ko"")
)"),"내 취향이야")</f>
        <v>내 취향이야</v>
      </c>
    </row>
    <row r="131" ht="20.25" customHeight="1">
      <c r="A131" s="5">
        <v>168.0</v>
      </c>
      <c r="B131" s="6">
        <v>251224.0</v>
      </c>
      <c r="C131" s="4"/>
      <c r="D131" s="7" t="s">
        <v>249</v>
      </c>
      <c r="E131" s="8" t="str">
        <f>IFERROR(__xludf.DUMMYFUNCTION("IF(
  LEN(TRIM(D131))=0,
  ""왼쪽에 영어 문장을 입력하세요"",
  GOOGLETRANSLATE(D131,""en"",""ko"")
)"),"강아지 만져봐도 될까요?")</f>
        <v>강아지 만져봐도 될까요?</v>
      </c>
    </row>
    <row r="132" ht="20.25" customHeight="1">
      <c r="A132" s="5">
        <v>169.0</v>
      </c>
      <c r="B132" s="6">
        <v>251224.0</v>
      </c>
      <c r="C132" s="4"/>
      <c r="D132" s="7" t="s">
        <v>250</v>
      </c>
      <c r="E132" s="8" t="str">
        <f>IFERROR(__xludf.DUMMYFUNCTION("IF(
  LEN(TRIM(D132))=0,
  ""왼쪽에 영어 문장을 입력하세요"",
  GOOGLETRANSLATE(D132,""en"",""ko"")
)"),"이 사과는 내게 달콤하고, 내게 좋다")</f>
        <v>이 사과는 내게 달콤하고, 내게 좋다</v>
      </c>
    </row>
    <row r="133" ht="20.25" customHeight="1">
      <c r="A133" s="5">
        <v>170.0</v>
      </c>
      <c r="B133" s="6">
        <v>251224.0</v>
      </c>
      <c r="C133" s="4"/>
      <c r="D133" s="7" t="s">
        <v>251</v>
      </c>
      <c r="E133" s="8" t="str">
        <f>IFERROR(__xludf.DUMMYFUNCTION("IF(
  LEN(TRIM(D133))=0,
  ""왼쪽에 영어 문장을 입력하세요"",
  GOOGLETRANSLATE(D133,""en"",""ko"")
)"),"제가 할 수 있는 일이 있는지 알아보겠습니다.")</f>
        <v>제가 할 수 있는 일이 있는지 알아보겠습니다.</v>
      </c>
    </row>
    <row r="134" ht="20.25" customHeight="1">
      <c r="A134" s="5">
        <v>171.0</v>
      </c>
      <c r="B134" s="6">
        <v>251224.0</v>
      </c>
      <c r="C134" s="4"/>
      <c r="D134" s="7" t="s">
        <v>252</v>
      </c>
      <c r="E134" s="8" t="str">
        <f>IFERROR(__xludf.DUMMYFUNCTION("IF(
  LEN(TRIM(D134))=0,
  ""왼쪽에 영어 문장을 입력하세요"",
  GOOGLETRANSLATE(D134,""en"",""ko"")
)"),"정말 득템이에요!")</f>
        <v>정말 득템이에요!</v>
      </c>
    </row>
    <row r="135" ht="20.25" customHeight="1">
      <c r="A135" s="5">
        <v>172.0</v>
      </c>
      <c r="B135" s="6">
        <v>251224.0</v>
      </c>
      <c r="C135" s="4"/>
      <c r="D135" s="7" t="s">
        <v>253</v>
      </c>
      <c r="E135" s="8" t="str">
        <f>IFERROR(__xludf.DUMMYFUNCTION("IF(
  LEN(TRIM(D135))=0,
  ""왼쪽에 영어 문장을 입력하세요"",
  GOOGLETRANSLATE(D135,""en"",""ko"")
)"),"그건 바가지예요")</f>
        <v>그건 바가지예요</v>
      </c>
    </row>
    <row r="136" ht="20.25" customHeight="1">
      <c r="A136" s="5">
        <v>173.0</v>
      </c>
      <c r="B136" s="6">
        <v>251224.0</v>
      </c>
      <c r="C136" s="4"/>
      <c r="D136" s="7" t="s">
        <v>254</v>
      </c>
      <c r="E136" s="8" t="str">
        <f>IFERROR(__xludf.DUMMYFUNCTION("IF(
  LEN(TRIM(D136))=0,
  ""왼쪽에 영어 문장을 입력하세요"",
  GOOGLETRANSLATE(D136,""en"",""ko"")
)"),"어쩔 수 없죠.")</f>
        <v>어쩔 수 없죠.</v>
      </c>
    </row>
    <row r="137" ht="20.25" customHeight="1">
      <c r="A137" s="5">
        <v>174.0</v>
      </c>
      <c r="B137" s="6">
        <v>251224.0</v>
      </c>
      <c r="C137" s="4"/>
      <c r="D137" s="7" t="s">
        <v>255</v>
      </c>
      <c r="E137" s="8" t="str">
        <f>IFERROR(__xludf.DUMMYFUNCTION("IF(
  LEN(TRIM(D137))=0,
  ""왼쪽에 영어 문장을 입력하세요"",
  GOOGLETRANSLATE(D137,""en"",""ko"")
)"),"머릿속이 복잡해지네요.")</f>
        <v>머릿속이 복잡해지네요.</v>
      </c>
    </row>
    <row r="138" ht="20.25" customHeight="1">
      <c r="A138" s="5">
        <v>175.0</v>
      </c>
      <c r="B138" s="6">
        <v>251224.0</v>
      </c>
      <c r="C138" s="4"/>
      <c r="D138" s="7" t="s">
        <v>256</v>
      </c>
      <c r="E138" s="8" t="str">
        <f>IFERROR(__xludf.DUMMYFUNCTION("IF(
  LEN(TRIM(D138))=0,
  ""왼쪽에 영어 문장을 입력하세요"",
  GOOGLETRANSLATE(D138,""en"",""ko"")
)"),"주말은 마치 영원처럼 멀게 느껴진다.")</f>
        <v>주말은 마치 영원처럼 멀게 느껴진다.</v>
      </c>
    </row>
    <row r="139" ht="20.25" customHeight="1">
      <c r="A139" s="5">
        <v>176.0</v>
      </c>
      <c r="B139" s="6">
        <v>251224.0</v>
      </c>
      <c r="C139" s="4"/>
      <c r="D139" s="7" t="s">
        <v>257</v>
      </c>
      <c r="E139" s="8" t="str">
        <f>IFERROR(__xludf.DUMMYFUNCTION("IF(
  LEN(TRIM(D139))=0,
  ""왼쪽에 영어 문장을 입력하세요"",
  GOOGLETRANSLATE(D139,""en"",""ko"")
)"),"한 입만 먹어도 될까요?")</f>
        <v>한 입만 먹어도 될까요?</v>
      </c>
    </row>
    <row r="140" ht="20.25" customHeight="1">
      <c r="A140" s="5">
        <v>177.0</v>
      </c>
      <c r="B140" s="6">
        <v>251224.0</v>
      </c>
      <c r="C140" s="4"/>
      <c r="D140" s="7" t="s">
        <v>258</v>
      </c>
      <c r="E140" s="8" t="str">
        <f>IFERROR(__xludf.DUMMYFUNCTION("IF(
  LEN(TRIM(D140))=0,
  ""왼쪽에 영어 문장을 입력하세요"",
  GOOGLETRANSLATE(D140,""en"",""ko"")
)"),"비슷한 부류끼리는 서로를 알아볼 수 없다.")</f>
        <v>비슷한 부류끼리는 서로를 알아볼 수 없다.</v>
      </c>
    </row>
    <row r="141" ht="20.25" customHeight="1">
      <c r="A141" s="5">
        <v>178.0</v>
      </c>
      <c r="B141" s="6">
        <v>251224.0</v>
      </c>
      <c r="C141" s="4"/>
      <c r="D141" s="7" t="s">
        <v>259</v>
      </c>
      <c r="E141" s="8" t="str">
        <f>IFERROR(__xludf.DUMMYFUNCTION("IF(
  LEN(TRIM(D141))=0,
  ""왼쪽에 영어 문장을 입력하세요"",
  GOOGLETRANSLATE(D141,""en"",""ko"")
)"),"너무 비싸요")</f>
        <v>너무 비싸요</v>
      </c>
    </row>
    <row r="142" ht="20.25" customHeight="1">
      <c r="A142" s="5">
        <v>179.0</v>
      </c>
      <c r="B142" s="6">
        <v>251224.0</v>
      </c>
      <c r="C142" s="4"/>
      <c r="D142" s="7" t="s">
        <v>260</v>
      </c>
      <c r="E142" s="8" t="str">
        <f>IFERROR(__xludf.DUMMYFUNCTION("IF(
  LEN(TRIM(D142))=0,
  ""왼쪽에 영어 문장을 입력하세요"",
  GOOGLETRANSLATE(D142,""en"",""ko"")
)"),"선택에는 결과가 따른다.")</f>
        <v>선택에는 결과가 따른다.</v>
      </c>
    </row>
    <row r="143" ht="20.25" customHeight="1">
      <c r="A143" s="5">
        <v>180.0</v>
      </c>
      <c r="B143" s="6">
        <v>251224.0</v>
      </c>
      <c r="C143" s="4"/>
      <c r="D143" s="7" t="s">
        <v>261</v>
      </c>
      <c r="E143" s="8" t="str">
        <f>IFERROR(__xludf.DUMMYFUNCTION("IF(
  LEN(TRIM(D143))=0,
  ""왼쪽에 영어 문장을 입력하세요"",
  GOOGLETRANSLATE(D143,""en"",""ko"")
)"),"남의 일에 참견하는 사람처럼 보이고 싶지는 않잖아요.")</f>
        <v>남의 일에 참견하는 사람처럼 보이고 싶지는 않잖아요.</v>
      </c>
    </row>
    <row r="144" ht="20.25" customHeight="1">
      <c r="A144" s="5">
        <v>181.0</v>
      </c>
      <c r="B144" s="6">
        <v>251224.0</v>
      </c>
      <c r="C144" s="4"/>
      <c r="D144" s="7" t="s">
        <v>262</v>
      </c>
      <c r="E144" s="8" t="str">
        <f>IFERROR(__xludf.DUMMYFUNCTION("IF(
  LEN(TRIM(D144))=0,
  ""왼쪽에 영어 문장을 입력하세요"",
  GOOGLETRANSLATE(D144,""en"",""ko"")
)"),"항상 긴장하라고 했잖아!
왜 내 말을 안 듣는 거야?")</f>
        <v>항상 긴장하라고 했잖아!
왜 내 말을 안 듣는 거야?</v>
      </c>
    </row>
    <row r="145" ht="20.25" customHeight="1">
      <c r="A145" s="5">
        <v>182.0</v>
      </c>
      <c r="B145" s="6">
        <v>251224.0</v>
      </c>
      <c r="C145" s="4"/>
      <c r="D145" s="7" t="s">
        <v>263</v>
      </c>
      <c r="E145" s="8" t="str">
        <f>IFERROR(__xludf.DUMMYFUNCTION("IF(
  LEN(TRIM(D145))=0,
  ""왼쪽에 영어 문장을 입력하세요"",
  GOOGLETRANSLATE(D145,""en"",""ko"")
)"),"제가 이런 이야기를 하는 데는 이유가 있습니다.")</f>
        <v>제가 이런 이야기를 하는 데는 이유가 있습니다.</v>
      </c>
    </row>
    <row r="146" ht="20.25" customHeight="1">
      <c r="A146" s="5">
        <v>183.0</v>
      </c>
      <c r="B146" s="6">
        <v>251224.0</v>
      </c>
      <c r="C146" s="4"/>
      <c r="D146" s="7" t="s">
        <v>264</v>
      </c>
      <c r="E146" s="8" t="str">
        <f>IFERROR(__xludf.DUMMYFUNCTION("IF(
  LEN(TRIM(D146))=0,
  ""왼쪽에 영어 문장을 입력하세요"",
  GOOGLETRANSLATE(D146,""en"",""ko"")
)"),"제가 문자를 보내면 빨리 답장해 달라고 분명히 말씀드렸잖아요.")</f>
        <v>제가 문자를 보내면 빨리 답장해 달라고 분명히 말씀드렸잖아요.</v>
      </c>
    </row>
    <row r="147" ht="20.25" customHeight="1">
      <c r="A147" s="5">
        <v>184.0</v>
      </c>
      <c r="B147" s="6">
        <v>251224.0</v>
      </c>
      <c r="C147" s="4"/>
      <c r="D147" s="7" t="s">
        <v>265</v>
      </c>
      <c r="E147" s="8" t="str">
        <f>IFERROR(__xludf.DUMMYFUNCTION("IF(
  LEN(TRIM(D147))=0,
  ""왼쪽에 영어 문장을 입력하세요"",
  GOOGLETRANSLATE(D147,""en"",""ko"")
)"),"배가 너무 불러요 = 배가 터질 것 같아요")</f>
        <v>배가 너무 불러요 = 배가 터질 것 같아요</v>
      </c>
    </row>
    <row r="148" ht="20.25" customHeight="1">
      <c r="A148" s="5">
        <v>185.0</v>
      </c>
      <c r="B148" s="6">
        <v>251224.0</v>
      </c>
      <c r="C148" s="4"/>
      <c r="D148" s="7" t="s">
        <v>266</v>
      </c>
      <c r="E148" s="8" t="str">
        <f>IFERROR(__xludf.DUMMYFUNCTION("IF(
  LEN(TRIM(D148))=0,
  ""왼쪽에 영어 문장을 입력하세요"",
  GOOGLETRANSLATE(D148,""en"",""ko"")
)"),"난 완전히 지쳤어")</f>
        <v>난 완전히 지쳤어</v>
      </c>
    </row>
    <row r="149" ht="20.25" customHeight="1">
      <c r="A149" s="5">
        <v>186.0</v>
      </c>
      <c r="B149" s="6">
        <v>251224.0</v>
      </c>
      <c r="C149" s="4"/>
      <c r="D149" s="7" t="s">
        <v>267</v>
      </c>
      <c r="E149" s="8" t="str">
        <f>IFERROR(__xludf.DUMMYFUNCTION("IF(
  LEN(TRIM(D149))=0,
  ""왼쪽에 영어 문장을 입력하세요"",
  GOOGLETRANSLATE(D149,""en"",""ko"")
)"),"난 곤란한 상황에 처했어")</f>
        <v>난 곤란한 상황에 처했어</v>
      </c>
    </row>
    <row r="150" ht="20.25" customHeight="1">
      <c r="A150" s="5">
        <v>187.0</v>
      </c>
      <c r="B150" s="6">
        <v>251224.0</v>
      </c>
      <c r="C150" s="4"/>
      <c r="D150" s="7" t="s">
        <v>268</v>
      </c>
      <c r="E150" s="8" t="str">
        <f>IFERROR(__xludf.DUMMYFUNCTION("IF(
  LEN(TRIM(D150))=0,
  ""왼쪽에 영어 문장을 입력하세요"",
  GOOGLETRANSLATE(D150,""en"",""ko"")
)"),"터질 것 같아")</f>
        <v>터질 것 같아</v>
      </c>
    </row>
    <row r="151" ht="20.25" customHeight="1">
      <c r="A151" s="5">
        <v>188.0</v>
      </c>
      <c r="B151" s="6">
        <v>251224.0</v>
      </c>
      <c r="C151" s="4"/>
      <c r="D151" s="7" t="s">
        <v>269</v>
      </c>
      <c r="E151" s="8" t="str">
        <f>IFERROR(__xludf.DUMMYFUNCTION("IF(
  LEN(TRIM(D151))=0,
  ""왼쪽에 영어 문장을 입력하세요"",
  GOOGLETRANSLATE(D151,""en"",""ko"")
)"),"나는 화가 났다")</f>
        <v>나는 화가 났다</v>
      </c>
    </row>
    <row r="152" ht="20.25" customHeight="1">
      <c r="A152" s="5">
        <v>189.0</v>
      </c>
      <c r="B152" s="6">
        <v>251224.0</v>
      </c>
      <c r="C152" s="4"/>
      <c r="D152" s="7" t="s">
        <v>270</v>
      </c>
      <c r="E152" s="8" t="str">
        <f>IFERROR(__xludf.DUMMYFUNCTION("IF(
  LEN(TRIM(D152))=0,
  ""왼쪽에 영어 문장을 입력하세요"",
  GOOGLETRANSLATE(D152,""en"",""ko"")
)"),"저는 캐묻는 게 아닙니다.")</f>
        <v>저는 캐묻는 게 아닙니다.</v>
      </c>
    </row>
    <row r="153" ht="20.25" customHeight="1">
      <c r="A153" s="5">
        <v>190.0</v>
      </c>
      <c r="B153" s="6">
        <v>251224.0</v>
      </c>
      <c r="C153" s="4"/>
      <c r="D153" s="7" t="s">
        <v>271</v>
      </c>
      <c r="E153" s="8" t="str">
        <f>IFERROR(__xludf.DUMMYFUNCTION("IF(
  LEN(TRIM(D153))=0,
  ""왼쪽에 영어 문장을 입력하세요"",
  GOOGLETRANSLATE(D153,""en"",""ko"")
)"),"나는 만족한다")</f>
        <v>나는 만족한다</v>
      </c>
    </row>
    <row r="154" ht="20.25" customHeight="1">
      <c r="A154" s="5">
        <v>191.0</v>
      </c>
      <c r="B154" s="6">
        <v>251224.0</v>
      </c>
      <c r="C154" s="4"/>
      <c r="D154" s="7" t="s">
        <v>272</v>
      </c>
      <c r="E154" s="8" t="str">
        <f>IFERROR(__xludf.DUMMYFUNCTION("IF(
  LEN(TRIM(D154))=0,
  ""왼쪽에 영어 문장을 입력하세요"",
  GOOGLETRANSLATE(D154,""en"",""ko"")
)"),"휙, 쿵, 던지기")</f>
        <v>휙, 쿵, 던지기</v>
      </c>
    </row>
    <row r="155" ht="20.25" customHeight="1">
      <c r="A155" s="5">
        <v>192.0</v>
      </c>
      <c r="B155" s="6">
        <v>251224.0</v>
      </c>
      <c r="C155" s="4"/>
      <c r="D155" s="7" t="s">
        <v>273</v>
      </c>
      <c r="E155" s="8" t="str">
        <f>IFERROR(__xludf.DUMMYFUNCTION("IF(
  LEN(TRIM(D155))=0,
  ""왼쪽에 영어 문장을 입력하세요"",
  GOOGLETRANSLATE(D155,""en"",""ko"")
)"),"후에 물어보세요")</f>
        <v>후에 물어보세요</v>
      </c>
    </row>
    <row r="156" ht="20.25" customHeight="1">
      <c r="A156" s="5">
        <v>193.0</v>
      </c>
      <c r="B156" s="6">
        <v>251224.0</v>
      </c>
      <c r="C156" s="4"/>
      <c r="D156" s="7" t="s">
        <v>274</v>
      </c>
      <c r="E156" s="8" t="str">
        <f>IFERROR(__xludf.DUMMYFUNCTION("IF(
  LEN(TRIM(D156))=0,
  ""왼쪽에 영어 문장을 입력하세요"",
  GOOGLETRANSLATE(D156,""en"",""ko"")
)"),"꺼내다")</f>
        <v>꺼내다</v>
      </c>
    </row>
    <row r="157" ht="20.25" customHeight="1">
      <c r="A157" s="5">
        <v>194.0</v>
      </c>
      <c r="B157" s="6">
        <v>251224.0</v>
      </c>
      <c r="C157" s="4"/>
      <c r="D157" s="7" t="s">
        <v>275</v>
      </c>
      <c r="E157" s="8" t="str">
        <f>IFERROR(__xludf.DUMMYFUNCTION("IF(
  LEN(TRIM(D157))=0,
  ""왼쪽에 영어 문장을 입력하세요"",
  GOOGLETRANSLATE(D157,""en"",""ko"")
)"),"존경하다")</f>
        <v>존경하다</v>
      </c>
    </row>
    <row r="158" ht="20.25" customHeight="1">
      <c r="A158" s="5">
        <v>195.0</v>
      </c>
      <c r="B158" s="6">
        <v>251224.0</v>
      </c>
      <c r="C158" s="4"/>
      <c r="D158" s="7" t="s">
        <v>276</v>
      </c>
      <c r="E158" s="8" t="str">
        <f>IFERROR(__xludf.DUMMYFUNCTION("IF(
  LEN(TRIM(D158))=0,
  ""왼쪽에 영어 문장을 입력하세요"",
  GOOGLETRANSLATE(D158,""en"",""ko"")
)"),"소란을 피우다")</f>
        <v>소란을 피우다</v>
      </c>
    </row>
    <row r="159" ht="20.25" customHeight="1">
      <c r="A159" s="5">
        <v>196.0</v>
      </c>
      <c r="B159" s="6">
        <v>251224.0</v>
      </c>
      <c r="C159" s="4"/>
      <c r="D159" s="7" t="s">
        <v>277</v>
      </c>
      <c r="E159" s="8" t="str">
        <f>IFERROR(__xludf.DUMMYFUNCTION("IF(
  LEN(TRIM(D159))=0,
  ""왼쪽에 영어 문장을 입력하세요"",
  GOOGLETRANSLATE(D159,""en"",""ko"")
)"),"아첨하다")</f>
        <v>아첨하다</v>
      </c>
    </row>
    <row r="160" ht="20.25" customHeight="1">
      <c r="A160" s="5">
        <v>197.0</v>
      </c>
      <c r="B160" s="6">
        <v>251224.0</v>
      </c>
      <c r="C160" s="4"/>
      <c r="D160" s="7" t="s">
        <v>278</v>
      </c>
      <c r="E160" s="8" t="str">
        <f>IFERROR(__xludf.DUMMYFUNCTION("IF(
  LEN(TRIM(D160))=0,
  ""왼쪽에 영어 문장을 입력하세요"",
  GOOGLETRANSLATE(D160,""en"",""ko"")
)"),"나 너무 배고파. 밥 먹자.")</f>
        <v>나 너무 배고파. 밥 먹자.</v>
      </c>
    </row>
    <row r="161" ht="20.25" customHeight="1">
      <c r="A161" s="5">
        <v>198.0</v>
      </c>
      <c r="B161" s="6">
        <v>251224.0</v>
      </c>
      <c r="C161" s="4"/>
      <c r="D161" s="7" t="s">
        <v>279</v>
      </c>
      <c r="E161" s="8" t="str">
        <f>IFERROR(__xludf.DUMMYFUNCTION("IF(
  LEN(TRIM(D161))=0,
  ""왼쪽에 영어 문장을 입력하세요"",
  GOOGLETRANSLATE(D161,""en"",""ko"")
)"),"저를 재촉하지 마세요")</f>
        <v>저를 재촉하지 마세요</v>
      </c>
    </row>
    <row r="162" ht="20.25" customHeight="1">
      <c r="A162" s="5">
        <v>199.0</v>
      </c>
      <c r="B162" s="6">
        <v>251224.0</v>
      </c>
      <c r="C162" s="4"/>
      <c r="D162" s="7" t="s">
        <v>280</v>
      </c>
      <c r="E162" s="8" t="str">
        <f>IFERROR(__xludf.DUMMYFUNCTION("IF(
  LEN(TRIM(D162))=0,
  ""왼쪽에 영어 문장을 입력하세요"",
  GOOGLETRANSLATE(D162,""en"",""ko"")
)"),"한번 시도해 볼게요.")</f>
        <v>한번 시도해 볼게요.</v>
      </c>
    </row>
    <row r="163" ht="20.25" customHeight="1">
      <c r="A163" s="5">
        <v>200.0</v>
      </c>
      <c r="B163" s="6">
        <v>251224.0</v>
      </c>
      <c r="C163" s="4"/>
      <c r="D163" s="7" t="s">
        <v>281</v>
      </c>
      <c r="E163" s="8" t="str">
        <f>IFERROR(__xludf.DUMMYFUNCTION("IF(
  LEN(TRIM(D163))=0,
  ""왼쪽에 영어 문장을 입력하세요"",
  GOOGLETRANSLATE(D163,""en"",""ko"")
)"),"그건 엉망이야")</f>
        <v>그건 엉망이야</v>
      </c>
    </row>
    <row r="164" ht="20.25" customHeight="1">
      <c r="A164" s="5">
        <v>201.0</v>
      </c>
      <c r="B164" s="6">
        <v>251224.0</v>
      </c>
      <c r="C164" s="4"/>
      <c r="D164" s="7" t="s">
        <v>282</v>
      </c>
      <c r="E164" s="8" t="str">
        <f>IFERROR(__xludf.DUMMYFUNCTION("IF(
  LEN(TRIM(D164))=0,
  ""왼쪽에 영어 문장을 입력하세요"",
  GOOGLETRANSLATE(D164,""en"",""ko"")
)"),"내가 책임자야")</f>
        <v>내가 책임자야</v>
      </c>
    </row>
    <row r="165" ht="20.25" customHeight="1">
      <c r="A165" s="5">
        <v>202.0</v>
      </c>
      <c r="B165" s="6">
        <v>251224.0</v>
      </c>
      <c r="C165" s="4"/>
      <c r="D165" s="7" t="s">
        <v>283</v>
      </c>
      <c r="E165" s="8" t="str">
        <f>IFERROR(__xludf.DUMMYFUNCTION("IF(
  LEN(TRIM(D165))=0,
  ""왼쪽에 영어 문장을 입력하세요"",
  GOOGLETRANSLATE(D165,""en"",""ko"")
)"),"그러고 보니...")</f>
        <v>그러고 보니...</v>
      </c>
    </row>
    <row r="166" ht="20.25" customHeight="1">
      <c r="A166" s="5">
        <v>203.0</v>
      </c>
      <c r="B166" s="6">
        <v>251224.0</v>
      </c>
      <c r="C166" s="4"/>
      <c r="D166" s="7" t="s">
        <v>284</v>
      </c>
      <c r="E166" s="8" t="str">
        <f>IFERROR(__xludf.DUMMYFUNCTION("IF(
  LEN(TRIM(D166))=0,
  ""왼쪽에 영어 문장을 입력하세요"",
  GOOGLETRANSLATE(D166,""en"",""ko"")
)"),"나는 잘 모르겠어 ~")</f>
        <v>나는 잘 모르겠어 ~</v>
      </c>
    </row>
    <row r="167" ht="20.25" customHeight="1">
      <c r="A167" s="5">
        <v>204.0</v>
      </c>
      <c r="B167" s="6">
        <v>251224.0</v>
      </c>
      <c r="C167" s="4"/>
      <c r="D167" s="7" t="s">
        <v>285</v>
      </c>
      <c r="E167" s="8" t="str">
        <f>IFERROR(__xludf.DUMMYFUNCTION("IF(
  LEN(TRIM(D167))=0,
  ""왼쪽에 영어 문장을 입력하세요"",
  GOOGLETRANSLATE(D167,""en"",""ko"")
)"),"얘기가 나온 김에 말인데 ~")</f>
        <v>얘기가 나온 김에 말인데 ~</v>
      </c>
    </row>
    <row r="168" ht="20.25" customHeight="1">
      <c r="A168" s="5">
        <v>205.0</v>
      </c>
      <c r="B168" s="6">
        <v>251224.0</v>
      </c>
      <c r="C168" s="4"/>
      <c r="D168" s="7" t="s">
        <v>286</v>
      </c>
      <c r="E168" s="8" t="str">
        <f>IFERROR(__xludf.DUMMYFUNCTION("IF(
  LEN(TRIM(D168))=0,
  ""왼쪽에 영어 문장을 입력하세요"",
  GOOGLETRANSLATE(D168,""en"",""ko"")
)"),"방법이 없어 ~")</f>
        <v>방법이 없어 ~</v>
      </c>
    </row>
    <row r="169" ht="20.25" customHeight="1">
      <c r="A169" s="5">
        <v>206.0</v>
      </c>
      <c r="B169" s="6">
        <v>251224.0</v>
      </c>
      <c r="C169" s="4"/>
      <c r="D169" s="7" t="s">
        <v>287</v>
      </c>
      <c r="E169" s="8" t="str">
        <f>IFERROR(__xludf.DUMMYFUNCTION("IF(
  LEN(TRIM(D169))=0,
  ""왼쪽에 영어 문장을 입력하세요"",
  GOOGLETRANSLATE(D169,""en"",""ko"")
)"),"~에 관해서라면")</f>
        <v>~에 관해서라면</v>
      </c>
    </row>
    <row r="170" ht="20.25" customHeight="1">
      <c r="A170" s="5">
        <v>207.0</v>
      </c>
      <c r="B170" s="6">
        <v>251224.0</v>
      </c>
      <c r="C170" s="4"/>
      <c r="D170" s="7" t="s">
        <v>288</v>
      </c>
      <c r="E170" s="8" t="str">
        <f>IFERROR(__xludf.DUMMYFUNCTION("IF(
  LEN(TRIM(D170))=0,
  ""왼쪽에 영어 문장을 입력하세요"",
  GOOGLETRANSLATE(D170,""en"",""ko"")
)"),"섣불리 판단하지 마세요")</f>
        <v>섣불리 판단하지 마세요</v>
      </c>
    </row>
    <row r="171" ht="20.25" customHeight="1">
      <c r="A171" s="5">
        <v>208.0</v>
      </c>
      <c r="B171" s="6">
        <v>251224.0</v>
      </c>
      <c r="C171" s="4"/>
      <c r="D171" s="7" t="s">
        <v>289</v>
      </c>
      <c r="E171" s="8" t="str">
        <f>IFERROR(__xludf.DUMMYFUNCTION("IF(
  LEN(TRIM(D171))=0,
  ""왼쪽에 영어 문장을 입력하세요"",
  GOOGLETRANSLATE(D171,""en"",""ko"")
)"),"내 자매들은 내 결정에 대해 재빨리 비판하곤 한다.")</f>
        <v>내 자매들은 내 결정에 대해 재빨리 비판하곤 한다.</v>
      </c>
    </row>
    <row r="172" ht="20.25" customHeight="1">
      <c r="A172" s="5">
        <v>209.0</v>
      </c>
      <c r="B172" s="6">
        <v>251224.0</v>
      </c>
      <c r="C172" s="4"/>
      <c r="D172" s="7" t="s">
        <v>290</v>
      </c>
      <c r="E172" s="8" t="str">
        <f>IFERROR(__xludf.DUMMYFUNCTION("IF(
  LEN(TRIM(D172))=0,
  ""왼쪽에 영어 문장을 입력하세요"",
  GOOGLETRANSLATE(D172,""en"",""ko"")
)"),"긴 회의를 마치고 나니, 사회생활에 필요한 에너지가 완전히 고갈됐어요.")</f>
        <v>긴 회의를 마치고 나니, 사회생활에 필요한 에너지가 완전히 고갈됐어요.</v>
      </c>
    </row>
    <row r="173" ht="20.25" customHeight="1">
      <c r="A173" s="5">
        <v>225.0</v>
      </c>
      <c r="B173" s="6">
        <v>251224.0</v>
      </c>
      <c r="C173" s="4"/>
      <c r="D173" s="7" t="s">
        <v>291</v>
      </c>
      <c r="E173" s="8" t="str">
        <f>IFERROR(__xludf.DUMMYFUNCTION("IF(
  LEN(TRIM(D173))=0,
  ""왼쪽에 영어 문장을 입력하세요"",
  GOOGLETRANSLATE(D173,""en"",""ko"")
)"),"A: 너 진짜 거짓말쟁이구나.
B: 거짓말쟁이끼리 알아보는 법이지.")</f>
        <v>A: 너 진짜 거짓말쟁이구나.
B: 거짓말쟁이끼리 알아보는 법이지.</v>
      </c>
    </row>
    <row r="174" ht="20.25" customHeight="1">
      <c r="A174" s="5">
        <v>227.0</v>
      </c>
      <c r="B174" s="6">
        <v>251224.0</v>
      </c>
      <c r="C174" s="4"/>
      <c r="D174" s="7" t="s">
        <v>292</v>
      </c>
      <c r="E174" s="8" t="str">
        <f>IFERROR(__xludf.DUMMYFUNCTION("IF(
  LEN(TRIM(D174))=0,
  ""왼쪽에 영어 문장을 입력하세요"",
  GOOGLETRANSLATE(D174,""en"",""ko"")
)"),"당신에게는 선택의 자유가 있을지 모르지만,
모든 선택에는 대가가 따릅니다.
")</f>
        <v>당신에게는 선택의 자유가 있을지 모르지만,
모든 선택에는 대가가 따릅니다.
</v>
      </c>
    </row>
    <row r="175" ht="20.25" customHeight="1">
      <c r="A175" s="5">
        <v>232.0</v>
      </c>
      <c r="B175" s="6">
        <v>251224.0</v>
      </c>
      <c r="C175" s="4"/>
      <c r="D175" s="7" t="s">
        <v>293</v>
      </c>
      <c r="E175" s="8" t="str">
        <f>IFERROR(__xludf.DUMMYFUNCTION("IF(
  LEN(TRIM(D175))=0,
  ""왼쪽에 영어 문장을 입력하세요"",
  GOOGLETRANSLATE(D175,""en"",""ko"")
)"),"너무 많이 먹어서 더 이상 먹을 수 없어요.")</f>
        <v>너무 많이 먹어서 더 이상 먹을 수 없어요.</v>
      </c>
    </row>
    <row r="176" ht="20.25" customHeight="1">
      <c r="A176" s="5">
        <v>233.0</v>
      </c>
      <c r="B176" s="6">
        <v>251224.0</v>
      </c>
      <c r="C176" s="4"/>
      <c r="D176" s="7" t="s">
        <v>294</v>
      </c>
      <c r="E176" s="8" t="str">
        <f>IFERROR(__xludf.DUMMYFUNCTION("IF(
  LEN(TRIM(D176))=0,
  ""왼쪽에 영어 문장을 입력하세요"",
  GOOGLETRANSLATE(D176,""en"",""ko"")
)"),"나는 너무 피곤해")</f>
        <v>나는 너무 피곤해</v>
      </c>
    </row>
    <row r="177" ht="20.25" customHeight="1">
      <c r="A177" s="5">
        <v>234.0</v>
      </c>
      <c r="B177" s="6">
        <v>251224.0</v>
      </c>
      <c r="C177" s="4"/>
      <c r="D177" s="7" t="s">
        <v>295</v>
      </c>
      <c r="E177" s="8" t="str">
        <f>IFERROR(__xludf.DUMMYFUNCTION("IF(
  LEN(TRIM(D177))=0,
  ""왼쪽에 영어 문장을 입력하세요"",
  GOOGLETRANSLATE(D177,""en"",""ko"")
)"),"나는 어렵거나 곤란한 상황에 처해 있다.")</f>
        <v>나는 어렵거나 곤란한 상황에 처해 있다.</v>
      </c>
    </row>
    <row r="178" ht="20.25" customHeight="1">
      <c r="A178" s="5">
        <v>235.0</v>
      </c>
      <c r="B178" s="6">
        <v>251224.0</v>
      </c>
      <c r="C178" s="4"/>
      <c r="D178" s="7" t="s">
        <v>296</v>
      </c>
      <c r="E178" s="8" t="str">
        <f>IFERROR(__xludf.DUMMYFUNCTION("IF(
  LEN(TRIM(D178))=0,
  ""왼쪽에 영어 문장을 입력하세요"",
  GOOGLETRANSLATE(D178,""en"",""ko"")
)"),"나는 곧 화장실에 가야 해")</f>
        <v>나는 곧 화장실에 가야 해</v>
      </c>
    </row>
    <row r="179" ht="20.25" customHeight="1">
      <c r="A179" s="5">
        <v>236.0</v>
      </c>
      <c r="B179" s="6">
        <v>251224.0</v>
      </c>
      <c r="C179" s="4"/>
      <c r="D179" s="7" t="s">
        <v>297</v>
      </c>
      <c r="E179" s="8" t="str">
        <f>IFERROR(__xludf.DUMMYFUNCTION("IF(
  LEN(TRIM(D179))=0,
  ""왼쪽에 영어 문장을 입력하세요"",
  GOOGLETRANSLATE(D179,""en"",""ko"")
)"),"나는 어떤 일 때문에 매우 화가 났다.")</f>
        <v>나는 어떤 일 때문에 매우 화가 났다.</v>
      </c>
    </row>
    <row r="180" ht="20.25" customHeight="1">
      <c r="A180" s="5">
        <v>240.0</v>
      </c>
      <c r="B180" s="6">
        <v>251224.0</v>
      </c>
      <c r="C180" s="4"/>
      <c r="D180" s="7" t="s">
        <v>298</v>
      </c>
      <c r="E180" s="8" t="str">
        <f>IFERROR(__xludf.DUMMYFUNCTION("IF(
  LEN(TRIM(D180))=0,
  ""왼쪽에 영어 문장을 입력하세요"",
  GOOGLETRANSLATE(D180,""en"",""ko"")
)"),"그녀는 그의 어머니의 안부를 물었다.")</f>
        <v>그녀는 그의 어머니의 안부를 물었다.</v>
      </c>
    </row>
    <row r="181" ht="20.25" customHeight="1">
      <c r="A181" s="5">
        <v>241.0</v>
      </c>
      <c r="B181" s="6">
        <v>251224.0</v>
      </c>
      <c r="C181" s="4"/>
      <c r="D181" s="7" t="s">
        <v>299</v>
      </c>
      <c r="E181" s="8" t="str">
        <f>IFERROR(__xludf.DUMMYFUNCTION("IF(
  LEN(TRIM(D181))=0,
  ""왼쪽에 영어 문장을 입력하세요"",
  GOOGLETRANSLATE(D181,""en"",""ko"")
)"),"그는 그 문제를 제기했다")</f>
        <v>그는 그 문제를 제기했다</v>
      </c>
    </row>
    <row r="182" ht="20.25" customHeight="1">
      <c r="A182" s="5">
        <v>242.0</v>
      </c>
      <c r="B182" s="6">
        <v>251224.0</v>
      </c>
      <c r="C182" s="4"/>
      <c r="D182" s="7" t="s">
        <v>300</v>
      </c>
      <c r="E182" s="8" t="str">
        <f>IFERROR(__xludf.DUMMYFUNCTION("IF(
  LEN(TRIM(D182))=0,
  ""왼쪽에 영어 문장을 입력하세요"",
  GOOGLETRANSLATE(D182,""en"",""ko"")
)"),"그는 선생님을 존경합니다")</f>
        <v>그는 선생님을 존경합니다</v>
      </c>
    </row>
    <row r="183" ht="20.25" customHeight="1">
      <c r="A183" s="5">
        <v>243.0</v>
      </c>
      <c r="B183" s="6">
        <v>251224.0</v>
      </c>
      <c r="C183" s="4"/>
      <c r="D183" s="7" t="s">
        <v>301</v>
      </c>
      <c r="E183" s="8" t="str">
        <f>IFERROR(__xludf.DUMMYFUNCTION("IF(
  LEN(TRIM(D183))=0,
  ""왼쪽에 영어 문장을 입력하세요"",
  GOOGLETRANSLATE(D183,""en"",""ko"")
)"),"엄마는 아이를 몹시 걱정했다.")</f>
        <v>엄마는 아이를 몹시 걱정했다.</v>
      </c>
    </row>
    <row r="184" ht="20.25" customHeight="1">
      <c r="A184" s="5">
        <v>244.0</v>
      </c>
      <c r="B184" s="6">
        <v>251224.0</v>
      </c>
      <c r="C184" s="4"/>
      <c r="D184" s="7" t="s">
        <v>302</v>
      </c>
      <c r="E184" s="8" t="str">
        <f>IFERROR(__xludf.DUMMYFUNCTION("IF(
  LEN(TRIM(D184))=0,
  ""왼쪽에 영어 문장을 입력하세요"",
  GOOGLETRANSLATE(D184,""en"",""ko"")
)"),"그는 상사에게 아첨했다")</f>
        <v>그는 상사에게 아첨했다</v>
      </c>
    </row>
    <row r="185" ht="20.25" customHeight="1">
      <c r="A185" s="5">
        <v>250.0</v>
      </c>
      <c r="B185" s="6">
        <v>251224.0</v>
      </c>
      <c r="C185" s="4"/>
      <c r="D185" s="7" t="s">
        <v>303</v>
      </c>
      <c r="E185" s="8" t="str">
        <f>IFERROR(__xludf.DUMMYFUNCTION("IF(
  LEN(TRIM(D185))=0,
  ""왼쪽에 영어 문장을 입력하세요"",
  GOOGLETRANSLATE(D185,""en"",""ko"")
)"),"그러고 보니, 문 잠그는 걸 깜빡했네요.")</f>
        <v>그러고 보니, 문 잠그는 걸 깜빡했네요.</v>
      </c>
    </row>
    <row r="186" ht="20.25" customHeight="1">
      <c r="A186" s="5">
        <v>251.0</v>
      </c>
      <c r="B186" s="6">
        <v>251224.0</v>
      </c>
      <c r="C186" s="4"/>
      <c r="D186" s="7" t="s">
        <v>304</v>
      </c>
      <c r="E186" s="8" t="str">
        <f>IFERROR(__xludf.DUMMYFUNCTION("IF(
  LEN(TRIM(D186))=0,
  ""왼쪽에 영어 문장을 입력하세요"",
  GOOGLETRANSLATE(D186,""en"",""ko"")
)"),"아기가 웃는 건지 우는 건지 모르겠어요")</f>
        <v>아기가 웃는 건지 우는 건지 모르겠어요</v>
      </c>
    </row>
    <row r="187" ht="20.25" customHeight="1">
      <c r="A187" s="5">
        <v>252.0</v>
      </c>
      <c r="B187" s="6">
        <v>251224.0</v>
      </c>
      <c r="C187" s="4"/>
      <c r="D187" s="7" t="s">
        <v>305</v>
      </c>
      <c r="E187" s="8" t="str">
        <f>IFERROR(__xludf.DUMMYFUNCTION("IF(
  LEN(TRIM(D187))=0,
  ""왼쪽에 영어 문장을 입력하세요"",
  GOOGLETRANSLATE(D187,""en"",""ko"")
)"),"돈 얘기가 나왔으니 말인데, 월급 받았어?")</f>
        <v>돈 얘기가 나왔으니 말인데, 월급 받았어?</v>
      </c>
      <c r="F187" s="9" t="s">
        <v>306</v>
      </c>
    </row>
    <row r="188" ht="20.25" customHeight="1">
      <c r="A188" s="5">
        <v>253.0</v>
      </c>
      <c r="B188" s="6">
        <v>251224.0</v>
      </c>
      <c r="C188" s="4"/>
      <c r="D188" s="7" t="s">
        <v>307</v>
      </c>
      <c r="E188" s="8" t="str">
        <f>IFERROR(__xludf.DUMMYFUNCTION("IF(
  LEN(TRIM(D188))=0,
  ""왼쪽에 영어 문장을 입력하세요"",
  GOOGLETRANSLATE(D188,""en"",""ko"")
)"),"저는 절대 그렇게 할 수 없어요.")</f>
        <v>저는 절대 그렇게 할 수 없어요.</v>
      </c>
      <c r="F188" s="9" t="s">
        <v>308</v>
      </c>
    </row>
    <row r="189" ht="20.25" customHeight="1">
      <c r="A189" s="5">
        <v>254.0</v>
      </c>
      <c r="B189" s="6">
        <v>251224.0</v>
      </c>
      <c r="C189" s="4"/>
      <c r="D189" s="7" t="s">
        <v>309</v>
      </c>
      <c r="E189" s="8" t="str">
        <f>IFERROR(__xludf.DUMMYFUNCTION("IF(
  LEN(TRIM(D189))=0,
  ""왼쪽에 영어 문장을 입력하세요"",
  GOOGLETRANSLATE(D189,""en"",""ko"")
)"),"영어 실력을 향상시키려면 연습이 필수입니다.")</f>
        <v>영어 실력을 향상시키려면 연습이 필수입니다.</v>
      </c>
      <c r="F189" s="9" t="s">
        <v>310</v>
      </c>
    </row>
    <row r="190" ht="20.25" customHeight="1">
      <c r="A190" s="5">
        <v>256.0</v>
      </c>
      <c r="B190" s="6">
        <v>251224.0</v>
      </c>
      <c r="C190" s="4"/>
      <c r="D190" s="7" t="s">
        <v>311</v>
      </c>
      <c r="E190" s="8" t="str">
        <f>IFERROR(__xludf.DUMMYFUNCTION("IF(
  LEN(TRIM(D190))=0,
  ""왼쪽에 영어 문장을 입력하세요"",
  GOOGLETRANSLATE(D190,""en"",""ko"")
)"),"어떤 사람들은 어려움에 부딪히면 쉽게 포기한다.")</f>
        <v>어떤 사람들은 어려움에 부딪히면 쉽게 포기한다.</v>
      </c>
      <c r="F190" s="10" t="s">
        <v>312</v>
      </c>
    </row>
    <row r="191" ht="20.25" customHeight="1">
      <c r="A191" s="5">
        <v>257.0</v>
      </c>
      <c r="B191" s="6">
        <v>251224.0</v>
      </c>
      <c r="C191" s="4"/>
      <c r="D191" s="11" t="s">
        <v>313</v>
      </c>
      <c r="E191" s="8" t="str">
        <f>IFERROR(__xludf.DUMMYFUNCTION("IF(
  LEN(TRIM(D191))=0,
  ""왼쪽에 영어 문장을 입력하세요"",
  GOOGLETRANSLATE(D191,""en"",""ko"")
)"),"단속하다")</f>
        <v>단속하다</v>
      </c>
      <c r="F191" s="12" t="s">
        <v>314</v>
      </c>
    </row>
    <row r="192" ht="20.25" customHeight="1">
      <c r="A192" s="5">
        <v>258.0</v>
      </c>
      <c r="B192" s="6">
        <v>251224.0</v>
      </c>
      <c r="C192" s="4"/>
      <c r="D192" s="13" t="s">
        <v>315</v>
      </c>
      <c r="E192" s="8" t="str">
        <f>IFERROR(__xludf.DUMMYFUNCTION("IF(
  LEN(TRIM(D192))=0,
  ""왼쪽에 영어 문장을 입력하세요"",
  GOOGLETRANSLATE(D192,""en"",""ko"")
)"),"음주 운전 단속 강화")</f>
        <v>음주 운전 단속 강화</v>
      </c>
      <c r="F192" s="14" t="s">
        <v>316</v>
      </c>
    </row>
    <row r="193" ht="20.25" customHeight="1">
      <c r="A193" s="5">
        <v>259.0</v>
      </c>
      <c r="B193" s="6">
        <v>251224.0</v>
      </c>
      <c r="C193" s="4"/>
      <c r="D193" s="11" t="s">
        <v>317</v>
      </c>
      <c r="E193" s="8" t="str">
        <f>IFERROR(__xludf.DUMMYFUNCTION("IF(
  LEN(TRIM(D193))=0,
  ""왼쪽에 영어 문장을 입력하세요"",
  GOOGLETRANSLATE(D193,""en"",""ko"")
)"),"누군가를 감시하다")</f>
        <v>누군가를 감시하다</v>
      </c>
      <c r="F193" s="12" t="s">
        <v>318</v>
      </c>
    </row>
    <row r="194" ht="20.25" customHeight="1">
      <c r="A194" s="5">
        <v>260.0</v>
      </c>
      <c r="B194" s="6">
        <v>251224.0</v>
      </c>
      <c r="C194" s="4"/>
      <c r="D194" s="11" t="s">
        <v>319</v>
      </c>
      <c r="E194" s="8" t="str">
        <f>IFERROR(__xludf.DUMMYFUNCTION("IF(
  LEN(TRIM(D194))=0,
  ""왼쪽에 영어 문장을 입력하세요"",
  GOOGLETRANSLATE(D194,""en"",""ko"")
)"),"내 상사는 직원들을 감시한다")</f>
        <v>내 상사는 직원들을 감시한다</v>
      </c>
      <c r="F194" s="14" t="s">
        <v>320</v>
      </c>
    </row>
    <row r="195" ht="20.25" customHeight="1">
      <c r="A195" s="5">
        <v>261.0</v>
      </c>
      <c r="B195" s="6">
        <v>251224.0</v>
      </c>
      <c r="C195" s="4"/>
      <c r="D195" s="11" t="s">
        <v>321</v>
      </c>
      <c r="E195" s="8" t="str">
        <f>IFERROR(__xludf.DUMMYFUNCTION("IF(
  LEN(TRIM(D195))=0,
  ""왼쪽에 영어 문장을 입력하세요"",
  GOOGLETRANSLATE(D195,""en"",""ko"")
)"),"사막")</f>
        <v>사막</v>
      </c>
      <c r="F195" s="12" t="s">
        <v>322</v>
      </c>
    </row>
    <row r="196" ht="20.25" customHeight="1">
      <c r="A196" s="5">
        <v>262.0</v>
      </c>
      <c r="B196" s="6">
        <v>251224.0</v>
      </c>
      <c r="C196" s="4"/>
      <c r="D196" s="11" t="s">
        <v>323</v>
      </c>
      <c r="E196" s="8" t="str">
        <f>IFERROR(__xludf.DUMMYFUNCTION("IF(
  LEN(TRIM(D196))=0,
  ""왼쪽에 영어 문장을 입력하세요"",
  GOOGLETRANSLATE(D196,""en"",""ko"")
)"),"가족을 버리고")</f>
        <v>가족을 버리고</v>
      </c>
      <c r="F196" s="14" t="s">
        <v>324</v>
      </c>
    </row>
    <row r="197" ht="20.25" customHeight="1">
      <c r="A197" s="5">
        <v>263.0</v>
      </c>
      <c r="B197" s="6">
        <v>251224.0</v>
      </c>
      <c r="C197" s="4"/>
      <c r="D197" s="11" t="s">
        <v>325</v>
      </c>
      <c r="E197" s="8" t="str">
        <f>IFERROR(__xludf.DUMMYFUNCTION("IF(
  LEN(TRIM(D197))=0,
  ""왼쪽에 영어 문장을 입력하세요"",
  GOOGLETRANSLATE(D197,""en"",""ko"")
)"),"통합하다")</f>
        <v>통합하다</v>
      </c>
      <c r="F197" s="12" t="s">
        <v>326</v>
      </c>
    </row>
    <row r="198" ht="20.25" customHeight="1">
      <c r="A198" s="5">
        <v>264.0</v>
      </c>
      <c r="B198" s="6">
        <v>251224.0</v>
      </c>
      <c r="C198" s="4"/>
      <c r="D198" s="11" t="s">
        <v>327</v>
      </c>
      <c r="E198" s="8" t="str">
        <f>IFERROR(__xludf.DUMMYFUNCTION("IF(
  LEN(TRIM(D198))=0,
  ""왼쪽에 영어 문장을 입력하세요"",
  GOOGLETRANSLATE(D198,""en"",""ko"")
)"),"즉위하다")</f>
        <v>즉위하다</v>
      </c>
      <c r="F198" s="12" t="s">
        <v>328</v>
      </c>
    </row>
    <row r="199" ht="20.25" customHeight="1">
      <c r="A199" s="5">
        <v>265.0</v>
      </c>
      <c r="B199" s="6">
        <v>251224.0</v>
      </c>
      <c r="C199" s="4"/>
      <c r="D199" s="11" t="s">
        <v>329</v>
      </c>
      <c r="E199" s="8" t="str">
        <f>IFERROR(__xludf.DUMMYFUNCTION("IF(
  LEN(TRIM(D199))=0,
  ""왼쪽에 영어 문장을 입력하세요"",
  GOOGLETRANSLATE(D199,""en"",""ko"")
)"),"소환하다")</f>
        <v>소환하다</v>
      </c>
      <c r="F199" s="12" t="s">
        <v>330</v>
      </c>
    </row>
    <row r="200" ht="20.25" customHeight="1">
      <c r="A200" s="5">
        <v>266.0</v>
      </c>
      <c r="B200" s="6">
        <v>251224.0</v>
      </c>
      <c r="C200" s="4"/>
      <c r="D200" s="13" t="s">
        <v>331</v>
      </c>
      <c r="E200" s="8" t="str">
        <f>IFERROR(__xludf.DUMMYFUNCTION("IF(
  LEN(TRIM(D200))=0,
  ""왼쪽에 영어 문장을 입력하세요"",
  GOOGLETRANSLATE(D200,""en"",""ko"")
)"),"묻다")</f>
        <v>묻다</v>
      </c>
      <c r="F200" s="14" t="s">
        <v>332</v>
      </c>
    </row>
    <row r="201" ht="20.25" customHeight="1">
      <c r="A201" s="5">
        <v>267.0</v>
      </c>
      <c r="B201" s="6">
        <v>251224.0</v>
      </c>
      <c r="C201" s="4"/>
      <c r="D201" s="13" t="s">
        <v>333</v>
      </c>
      <c r="E201" s="8" t="str">
        <f>IFERROR(__xludf.DUMMYFUNCTION("IF(
  LEN(TRIM(D201))=0,
  ""왼쪽에 영어 문장을 입력하세요"",
  GOOGLETRANSLATE(D201,""en"",""ko"")
)"),"이력")</f>
        <v>이력</v>
      </c>
      <c r="F201" s="14" t="s">
        <v>334</v>
      </c>
    </row>
    <row r="202" ht="20.25" customHeight="1">
      <c r="A202" s="5">
        <v>268.0</v>
      </c>
      <c r="B202" s="6">
        <v>251224.0</v>
      </c>
      <c r="C202" s="4"/>
      <c r="D202" s="13" t="s">
        <v>335</v>
      </c>
      <c r="E202" s="8" t="str">
        <f>IFERROR(__xludf.DUMMYFUNCTION("IF(
  LEN(TRIM(D202))=0,
  ""왼쪽에 영어 문장을 입력하세요"",
  GOOGLETRANSLATE(D202,""en"",""ko"")
)"),"사상자")</f>
        <v>사상자</v>
      </c>
      <c r="F202" s="14" t="s">
        <v>336</v>
      </c>
    </row>
    <row r="203" ht="20.25" customHeight="1">
      <c r="A203" s="5">
        <v>269.0</v>
      </c>
      <c r="B203" s="6">
        <v>251224.0</v>
      </c>
      <c r="C203" s="4"/>
      <c r="D203" s="13" t="s">
        <v>337</v>
      </c>
      <c r="E203" s="8" t="str">
        <f>IFERROR(__xludf.DUMMYFUNCTION("IF(
  LEN(TRIM(D203))=0,
  ""왼쪽에 영어 문장을 입력하세요"",
  GOOGLETRANSLATE(D203,""en"",""ko"")
)"),"방해")</f>
        <v>방해</v>
      </c>
      <c r="F203" s="14" t="s">
        <v>338</v>
      </c>
    </row>
    <row r="204" ht="20.25" customHeight="1">
      <c r="A204" s="5">
        <v>270.0</v>
      </c>
      <c r="B204" s="6">
        <v>251224.0</v>
      </c>
      <c r="C204" s="4"/>
      <c r="D204" s="13" t="s">
        <v>339</v>
      </c>
      <c r="E204" s="8" t="str">
        <f>IFERROR(__xludf.DUMMYFUNCTION("IF(
  LEN(TRIM(D204))=0,
  ""왼쪽에 영어 문장을 입력하세요"",
  GOOGLETRANSLATE(D204,""en"",""ko"")
)"),"원정")</f>
        <v>원정</v>
      </c>
      <c r="F204" s="14" t="s">
        <v>340</v>
      </c>
    </row>
    <row r="205" ht="20.25" customHeight="1">
      <c r="A205" s="5">
        <v>271.0</v>
      </c>
      <c r="B205" s="6">
        <v>251224.0</v>
      </c>
      <c r="C205" s="4"/>
      <c r="D205" s="13" t="s">
        <v>341</v>
      </c>
      <c r="E205" s="8" t="str">
        <f>IFERROR(__xludf.DUMMYFUNCTION("IF(
  LEN(TRIM(D205))=0,
  ""왼쪽에 영어 문장을 입력하세요"",
  GOOGLETRANSLATE(D205,""en"",""ko"")
)"),"통풍")</f>
        <v>통풍</v>
      </c>
      <c r="F205" s="14" t="s">
        <v>342</v>
      </c>
    </row>
    <row r="206" ht="20.25" customHeight="1">
      <c r="A206" s="5">
        <v>272.0</v>
      </c>
      <c r="B206" s="6">
        <v>251224.0</v>
      </c>
      <c r="C206" s="4"/>
      <c r="D206" s="13" t="s">
        <v>343</v>
      </c>
      <c r="E206" s="8" t="str">
        <f>IFERROR(__xludf.DUMMYFUNCTION("IF(
  LEN(TRIM(D206))=0,
  ""왼쪽에 영어 문장을 입력하세요"",
  GOOGLETRANSLATE(D206,""en"",""ko"")
)"),"괴롭히다")</f>
        <v>괴롭히다</v>
      </c>
      <c r="F206" s="14" t="s">
        <v>344</v>
      </c>
    </row>
    <row r="207" ht="20.25" customHeight="1">
      <c r="A207" s="5">
        <v>273.0</v>
      </c>
      <c r="B207" s="6">
        <v>251224.0</v>
      </c>
      <c r="C207" s="4"/>
      <c r="D207" s="13" t="s">
        <v>345</v>
      </c>
      <c r="E207" s="8" t="str">
        <f>IFERROR(__xludf.DUMMYFUNCTION("IF(
  LEN(TRIM(D207))=0,
  ""왼쪽에 영어 문장을 입력하세요"",
  GOOGLETRANSLATE(D207,""en"",""ko"")
)"),"그는 통풍에 걸렸다.")</f>
        <v>그는 통풍에 걸렸다.</v>
      </c>
      <c r="F207" s="14" t="s">
        <v>346</v>
      </c>
    </row>
    <row r="208" ht="20.25" customHeight="1">
      <c r="A208" s="5">
        <v>274.0</v>
      </c>
      <c r="B208" s="6">
        <v>251224.0</v>
      </c>
      <c r="C208" s="4"/>
      <c r="D208" s="13" t="s">
        <v>347</v>
      </c>
      <c r="E208" s="8" t="str">
        <f>IFERROR(__xludf.DUMMYFUNCTION("IF(
  LEN(TRIM(D208))=0,
  ""왼쪽에 영어 문장을 입력하세요"",
  GOOGLETRANSLATE(D208,""en"",""ko"")
)"),"의도치 않게")</f>
        <v>의도치 않게</v>
      </c>
      <c r="F208" s="14" t="s">
        <v>348</v>
      </c>
    </row>
    <row r="209" ht="20.25" customHeight="1">
      <c r="A209" s="5">
        <v>275.0</v>
      </c>
      <c r="B209" s="6">
        <v>251224.0</v>
      </c>
      <c r="C209" s="4"/>
      <c r="D209" s="13" t="s">
        <v>349</v>
      </c>
      <c r="E209" s="8" t="str">
        <f>IFERROR(__xludf.DUMMYFUNCTION("IF(
  LEN(TRIM(D209))=0,
  ""왼쪽에 영어 문장을 입력하세요"",
  GOOGLETRANSLATE(D209,""en"",""ko"")
)"),"성경에 나올 법한 규모")</f>
        <v>성경에 나올 법한 규모</v>
      </c>
      <c r="F209" s="14" t="s">
        <v>350</v>
      </c>
    </row>
    <row r="210" ht="20.25" customHeight="1">
      <c r="A210" s="5">
        <v>276.0</v>
      </c>
      <c r="B210" s="6">
        <v>251224.0</v>
      </c>
      <c r="C210" s="4"/>
      <c r="D210" s="13" t="s">
        <v>351</v>
      </c>
      <c r="E210" s="8" t="str">
        <f>IFERROR(__xludf.DUMMYFUNCTION("IF(
  LEN(TRIM(D210))=0,
  ""왼쪽에 영어 문장을 입력하세요"",
  GOOGLETRANSLATE(D210,""en"",""ko"")
)"),"요한계시록")</f>
        <v>요한계시록</v>
      </c>
      <c r="F210" s="14" t="s">
        <v>352</v>
      </c>
    </row>
    <row r="211" ht="20.25" customHeight="1">
      <c r="A211" s="5">
        <v>277.0</v>
      </c>
      <c r="B211" s="6">
        <v>251224.0</v>
      </c>
      <c r="C211" s="4"/>
      <c r="D211" s="13" t="s">
        <v>353</v>
      </c>
      <c r="E211" s="8" t="str">
        <f>IFERROR(__xludf.DUMMYFUNCTION("IF(
  LEN(TRIM(D211))=0,
  ""왼쪽에 영어 문장을 입력하세요"",
  GOOGLETRANSLATE(D211,""en"",""ko"")
)"),"그에게 엄청난 보수를 안겨주었다")</f>
        <v>그에게 엄청난 보수를 안겨주었다</v>
      </c>
      <c r="F211" s="14" t="s">
        <v>354</v>
      </c>
    </row>
    <row r="212" ht="20.25" customHeight="1">
      <c r="A212" s="5">
        <v>278.0</v>
      </c>
      <c r="B212" s="6">
        <v>251224.0</v>
      </c>
      <c r="C212" s="4"/>
      <c r="D212" s="13" t="s">
        <v>355</v>
      </c>
      <c r="E212" s="8" t="str">
        <f>IFERROR(__xludf.DUMMYFUNCTION("IF(
  LEN(TRIM(D212))=0,
  ""왼쪽에 영어 문장을 입력하세요"",
  GOOGLETRANSLATE(D212,""en"",""ko"")
)"),"혐오스러운")</f>
        <v>혐오스러운</v>
      </c>
      <c r="F212" s="14" t="s">
        <v>356</v>
      </c>
    </row>
    <row r="213" ht="20.25" customHeight="1">
      <c r="A213" s="5">
        <v>279.0</v>
      </c>
      <c r="B213" s="6">
        <v>251224.0</v>
      </c>
      <c r="C213" s="4"/>
      <c r="D213" s="13" t="s">
        <v>357</v>
      </c>
      <c r="E213" s="8" t="str">
        <f>IFERROR(__xludf.DUMMYFUNCTION("IF(
  LEN(TRIM(D213))=0,
  ""왼쪽에 영어 문장을 입력하세요"",
  GOOGLETRANSLATE(D213,""en"",""ko"")
)"),"은둔자")</f>
        <v>은둔자</v>
      </c>
      <c r="F213" s="14" t="s">
        <v>358</v>
      </c>
    </row>
    <row r="214" ht="20.25" customHeight="1">
      <c r="A214" s="5">
        <v>280.0</v>
      </c>
      <c r="B214" s="6">
        <v>251224.0</v>
      </c>
      <c r="C214" s="4"/>
      <c r="D214" s="13" t="s">
        <v>359</v>
      </c>
      <c r="E214" s="8" t="str">
        <f>IFERROR(__xludf.DUMMYFUNCTION("IF(
  LEN(TRIM(D214))=0,
  ""왼쪽에 영어 문장을 입력하세요"",
  GOOGLETRANSLATE(D214,""en"",""ko"")
)"),"간섭하다")</f>
        <v>간섭하다</v>
      </c>
      <c r="F214" s="14" t="s">
        <v>360</v>
      </c>
    </row>
    <row r="215" ht="20.25" customHeight="1">
      <c r="A215" s="5">
        <v>281.0</v>
      </c>
      <c r="B215" s="6">
        <v>251224.0</v>
      </c>
      <c r="C215" s="4"/>
      <c r="D215" s="13" t="s">
        <v>361</v>
      </c>
      <c r="E215" s="8" t="str">
        <f>IFERROR(__xludf.DUMMYFUNCTION("IF(
  LEN(TRIM(D215))=0,
  ""왼쪽에 영어 문장을 입력하세요"",
  GOOGLETRANSLATE(D215,""en"",""ko"")
)"),"망상")</f>
        <v>망상</v>
      </c>
      <c r="F215" s="14" t="s">
        <v>362</v>
      </c>
    </row>
    <row r="216" ht="20.25" customHeight="1">
      <c r="A216" s="5">
        <v>282.0</v>
      </c>
      <c r="B216" s="6">
        <v>251224.0</v>
      </c>
      <c r="C216" s="4"/>
      <c r="D216" s="13" t="s">
        <v>363</v>
      </c>
      <c r="E216" s="8" t="str">
        <f>IFERROR(__xludf.DUMMYFUNCTION("IF(
  LEN(TRIM(D216))=0,
  ""왼쪽에 영어 문장을 입력하세요"",
  GOOGLETRANSLATE(D216,""en"",""ko"")
)"),"망상에 시달리는 환자")</f>
        <v>망상에 시달리는 환자</v>
      </c>
      <c r="F216" s="14" t="s">
        <v>364</v>
      </c>
    </row>
    <row r="217" ht="20.25" customHeight="1">
      <c r="A217" s="5">
        <v>283.0</v>
      </c>
      <c r="B217" s="6">
        <v>251224.0</v>
      </c>
      <c r="C217" s="4"/>
      <c r="D217" s="13" t="s">
        <v>365</v>
      </c>
      <c r="E217" s="8" t="str">
        <f>IFERROR(__xludf.DUMMYFUNCTION("IF(
  LEN(TRIM(D217))=0,
  ""왼쪽에 영어 문장을 입력하세요"",
  GOOGLETRANSLATE(D217,""en"",""ko"")
)"),"억누르다")</f>
        <v>억누르다</v>
      </c>
      <c r="F217" s="14" t="s">
        <v>366</v>
      </c>
    </row>
    <row r="218" ht="20.25" customHeight="1">
      <c r="A218" s="5">
        <v>284.0</v>
      </c>
      <c r="B218" s="6">
        <v>251224.0</v>
      </c>
      <c r="C218" s="4"/>
      <c r="D218" s="13" t="s">
        <v>367</v>
      </c>
      <c r="E218" s="8" t="str">
        <f>IFERROR(__xludf.DUMMYFUNCTION("IF(
  LEN(TRIM(D218))=0,
  ""왼쪽에 영어 문장을 입력하세요"",
  GOOGLETRANSLATE(D218,""en"",""ko"")
)"),"동시에")</f>
        <v>동시에</v>
      </c>
      <c r="F218" s="14" t="s">
        <v>368</v>
      </c>
    </row>
    <row r="219" ht="20.25" customHeight="1">
      <c r="A219" s="5">
        <v>285.0</v>
      </c>
      <c r="B219" s="6">
        <v>251224.0</v>
      </c>
      <c r="C219" s="4"/>
      <c r="D219" s="13" t="s">
        <v>369</v>
      </c>
      <c r="E219" s="8" t="str">
        <f>IFERROR(__xludf.DUMMYFUNCTION("IF(
  LEN(TRIM(D219))=0,
  ""왼쪽에 영어 문장을 입력하세요"",
  GOOGLETRANSLATE(D219,""en"",""ko"")
)"),"크리스와 에릭은 종종 함께 작업합니다.")</f>
        <v>크리스와 에릭은 종종 함께 작업합니다.</v>
      </c>
      <c r="F219" s="9" t="s">
        <v>370</v>
      </c>
    </row>
    <row r="220" ht="20.25" customHeight="1">
      <c r="A220" s="5">
        <v>286.0</v>
      </c>
      <c r="B220" s="6">
        <v>251224.0</v>
      </c>
      <c r="C220" s="4"/>
      <c r="D220" s="13" t="s">
        <v>371</v>
      </c>
      <c r="E220" s="8" t="str">
        <f>IFERROR(__xludf.DUMMYFUNCTION("IF(
  LEN(TRIM(D220))=0,
  ""왼쪽에 영어 문장을 입력하세요"",
  GOOGLETRANSLATE(D220,""en"",""ko"")
)"),"온라인 사업은 오프라인 사업과 병행하여 운영되었습니다.")</f>
        <v>온라인 사업은 오프라인 사업과 병행하여 운영되었습니다.</v>
      </c>
      <c r="F220" s="9" t="s">
        <v>372</v>
      </c>
    </row>
    <row r="221" ht="20.25" customHeight="1">
      <c r="A221" s="5">
        <v>287.0</v>
      </c>
      <c r="B221" s="6">
        <v>251224.0</v>
      </c>
      <c r="C221" s="4"/>
      <c r="D221" s="13" t="s">
        <v>373</v>
      </c>
      <c r="E221" s="8" t="str">
        <f>IFERROR(__xludf.DUMMYFUNCTION("IF(
  LEN(TRIM(D221))=0,
  ""왼쪽에 영어 문장을 입력하세요"",
  GOOGLETRANSLATE(D221,""en"",""ko"")
)"),"열등감")</f>
        <v>열등감</v>
      </c>
      <c r="F221" s="9" t="s">
        <v>374</v>
      </c>
    </row>
    <row r="222" ht="20.25" customHeight="1">
      <c r="A222" s="5">
        <v>288.0</v>
      </c>
      <c r="B222" s="6">
        <v>251224.0</v>
      </c>
      <c r="C222" s="4"/>
      <c r="D222" s="13" t="s">
        <v>375</v>
      </c>
      <c r="E222" s="8" t="str">
        <f>IFERROR(__xludf.DUMMYFUNCTION("IF(
  LEN(TRIM(D222))=0,
  ""왼쪽에 영어 문장을 입력하세요"",
  GOOGLETRANSLATE(D222,""en"",""ko"")
)"),"~에 달려있다")</f>
        <v>~에 달려있다</v>
      </c>
      <c r="F222" s="14" t="s">
        <v>376</v>
      </c>
    </row>
    <row r="223" ht="20.25" customHeight="1">
      <c r="A223" s="5">
        <v>289.0</v>
      </c>
      <c r="B223" s="6">
        <v>251224.0</v>
      </c>
      <c r="C223" s="4"/>
      <c r="D223" s="13" t="s">
        <v>377</v>
      </c>
      <c r="E223" s="8" t="str">
        <f>IFERROR(__xludf.DUMMYFUNCTION("IF(
  LEN(TRIM(D223))=0,
  ""왼쪽에 영어 문장을 입력하세요"",
  GOOGLETRANSLATE(D223,""en"",""ko"")
)"),"내 결정은 당신의 소식에 달려 있습니다.")</f>
        <v>내 결정은 당신의 소식에 달려 있습니다.</v>
      </c>
      <c r="F223" s="14" t="s">
        <v>378</v>
      </c>
    </row>
    <row r="224" ht="20.25" customHeight="1">
      <c r="A224" s="5">
        <v>290.0</v>
      </c>
      <c r="B224" s="6">
        <v>251224.0</v>
      </c>
      <c r="C224" s="4"/>
      <c r="D224" s="13" t="s">
        <v>379</v>
      </c>
      <c r="E224" s="8" t="str">
        <f>IFERROR(__xludf.DUMMYFUNCTION("IF(
  LEN(TRIM(D224))=0,
  ""왼쪽에 영어 문장을 입력하세요"",
  GOOGLETRANSLATE(D224,""en"",""ko"")
)"),"~와 동등하다")</f>
        <v>~와 동등하다</v>
      </c>
      <c r="F224" s="14" t="s">
        <v>380</v>
      </c>
    </row>
    <row r="225" ht="20.25" customHeight="1">
      <c r="A225" s="5">
        <v>291.0</v>
      </c>
      <c r="B225" s="6">
        <v>251224.0</v>
      </c>
      <c r="C225" s="4"/>
      <c r="D225" s="13" t="s">
        <v>381</v>
      </c>
      <c r="E225" s="8" t="str">
        <f>IFERROR(__xludf.DUMMYFUNCTION("IF(
  LEN(TRIM(D225))=0,
  ""왼쪽에 영어 문장을 입력하세요"",
  GOOGLETRANSLATE(D225,""en"",""ko"")
)"),"이는 배신과 다름없습니다.")</f>
        <v>이는 배신과 다름없습니다.</v>
      </c>
      <c r="F225" s="14" t="s">
        <v>382</v>
      </c>
    </row>
    <row r="226" ht="20.25" customHeight="1">
      <c r="A226" s="5">
        <v>292.0</v>
      </c>
      <c r="B226" s="6">
        <v>251224.0</v>
      </c>
      <c r="C226" s="4"/>
      <c r="D226" s="13" t="s">
        <v>383</v>
      </c>
      <c r="E226" s="8" t="str">
        <f>IFERROR(__xludf.DUMMYFUNCTION("IF(
  LEN(TRIM(D226))=0,
  ""왼쪽에 영어 문장을 입력하세요"",
  GOOGLETRANSLATE(D226,""en"",""ko"")
)"),"기관차")</f>
        <v>기관차</v>
      </c>
      <c r="F226" s="14" t="s">
        <v>384</v>
      </c>
    </row>
    <row r="227" ht="20.25" customHeight="1">
      <c r="A227" s="5">
        <v>293.0</v>
      </c>
      <c r="B227" s="6">
        <v>251224.0</v>
      </c>
      <c r="C227" s="4"/>
      <c r="D227" s="13" t="s">
        <v>385</v>
      </c>
      <c r="E227" s="8" t="str">
        <f>IFERROR(__xludf.DUMMYFUNCTION("IF(
  LEN(TRIM(D227))=0,
  ""왼쪽에 영어 문장을 입력하세요"",
  GOOGLETRANSLATE(D227,""en"",""ko"")
)"),"연설자")</f>
        <v>연설자</v>
      </c>
      <c r="F227" s="14" t="s">
        <v>386</v>
      </c>
    </row>
    <row r="228" ht="20.25" customHeight="1">
      <c r="A228" s="5">
        <v>294.0</v>
      </c>
      <c r="B228" s="6">
        <v>251224.0</v>
      </c>
      <c r="C228" s="4"/>
      <c r="D228" s="13" t="s">
        <v>387</v>
      </c>
      <c r="E228" s="8" t="str">
        <f>IFERROR(__xludf.DUMMYFUNCTION("IF(
  LEN(TRIM(D228))=0,
  ""왼쪽에 영어 문장을 입력하세요"",
  GOOGLETRANSLATE(D228,""en"",""ko"")
)"),"방해")</f>
        <v>방해</v>
      </c>
      <c r="F228" s="14" t="s">
        <v>388</v>
      </c>
    </row>
    <row r="229" ht="20.25" customHeight="1">
      <c r="A229" s="5">
        <v>295.0</v>
      </c>
      <c r="B229" s="6">
        <v>251224.0</v>
      </c>
      <c r="C229" s="4"/>
      <c r="D229" s="13" t="s">
        <v>389</v>
      </c>
      <c r="E229" s="8" t="str">
        <f>IFERROR(__xludf.DUMMYFUNCTION("IF(
  LEN(TRIM(D229))=0,
  ""왼쪽에 영어 문장을 입력하세요"",
  GOOGLETRANSLATE(D229,""en"",""ko"")
)"),"놀라운 일")</f>
        <v>놀라운 일</v>
      </c>
      <c r="F229" s="14" t="s">
        <v>390</v>
      </c>
    </row>
    <row r="230" ht="20.25" customHeight="1">
      <c r="A230" s="5">
        <v>296.0</v>
      </c>
      <c r="B230" s="6">
        <v>251224.0</v>
      </c>
      <c r="C230" s="4"/>
      <c r="D230" s="13" t="s">
        <v>391</v>
      </c>
      <c r="E230" s="8" t="str">
        <f>IFERROR(__xludf.DUMMYFUNCTION("IF(
  LEN(TRIM(D230))=0,
  ""왼쪽에 영어 문장을 입력하세요"",
  GOOGLETRANSLATE(D230,""en"",""ko"")
)"),"예리한 통찰력")</f>
        <v>예리한 통찰력</v>
      </c>
      <c r="F230" s="14" t="s">
        <v>392</v>
      </c>
    </row>
    <row r="231" ht="20.25" customHeight="1">
      <c r="A231" s="5">
        <v>297.0</v>
      </c>
      <c r="B231" s="6">
        <v>251224.0</v>
      </c>
      <c r="C231" s="4"/>
      <c r="D231" s="13" t="s">
        <v>393</v>
      </c>
      <c r="E231" s="8" t="str">
        <f>IFERROR(__xludf.DUMMYFUNCTION("IF(
  LEN(TRIM(D231))=0,
  ""왼쪽에 영어 문장을 입력하세요"",
  GOOGLETRANSLATE(D231,""en"",""ko"")
)"),"약한 입찰")</f>
        <v>약한 입찰</v>
      </c>
      <c r="F231" s="14" t="s">
        <v>394</v>
      </c>
    </row>
    <row r="232" ht="20.25" customHeight="1">
      <c r="A232" s="5">
        <v>298.0</v>
      </c>
      <c r="B232" s="6">
        <v>251224.0</v>
      </c>
      <c r="C232" s="4"/>
      <c r="D232" s="13" t="s">
        <v>395</v>
      </c>
      <c r="E232" s="8" t="str">
        <f>IFERROR(__xludf.DUMMYFUNCTION("IF(
  LEN(TRIM(D232))=0,
  ""왼쪽에 영어 문장을 입력하세요"",
  GOOGLETRANSLATE(D232,""en"",""ko"")
)"),"평화를 회복하려는 노력")</f>
        <v>평화를 회복하려는 노력</v>
      </c>
      <c r="F232" s="14" t="s">
        <v>396</v>
      </c>
    </row>
    <row r="233" ht="20.25" customHeight="1">
      <c r="A233" s="5">
        <v>299.0</v>
      </c>
      <c r="B233" s="6">
        <v>251224.0</v>
      </c>
      <c r="C233" s="4"/>
      <c r="D233" s="13" t="s">
        <v>397</v>
      </c>
      <c r="E233" s="8" t="str">
        <f>IFERROR(__xludf.DUMMYFUNCTION("IF(
  LEN(TRIM(D233))=0,
  ""왼쪽에 영어 문장을 입력하세요"",
  GOOGLETRANSLATE(D233,""en"",""ko"")
)"),"일방적인")</f>
        <v>일방적인</v>
      </c>
      <c r="F233" s="14" t="s">
        <v>398</v>
      </c>
    </row>
    <row r="234" ht="20.25" customHeight="1">
      <c r="A234" s="5">
        <v>300.0</v>
      </c>
      <c r="B234" s="6">
        <v>251224.0</v>
      </c>
      <c r="C234" s="4"/>
      <c r="D234" s="13" t="s">
        <v>399</v>
      </c>
      <c r="E234" s="8" t="str">
        <f>IFERROR(__xludf.DUMMYFUNCTION("IF(
  LEN(TRIM(D234))=0,
  ""왼쪽에 영어 문장을 입력하세요"",
  GOOGLETRANSLATE(D234,""en"",""ko"")
)"),"주장하다 ")</f>
        <v>주장하다 </v>
      </c>
      <c r="F234" s="14" t="s">
        <v>400</v>
      </c>
    </row>
    <row r="235" ht="20.25" customHeight="1">
      <c r="A235" s="5">
        <v>301.0</v>
      </c>
      <c r="B235" s="6">
        <v>251224.0</v>
      </c>
      <c r="C235" s="4"/>
      <c r="D235" s="13" t="s">
        <v>401</v>
      </c>
      <c r="E235" s="8" t="str">
        <f>IFERROR(__xludf.DUMMYFUNCTION("IF(
  LEN(TRIM(D235))=0,
  ""왼쪽에 영어 문장을 입력하세요"",
  GOOGLETRANSLATE(D235,""en"",""ko"")
)"),"취약한")</f>
        <v>취약한</v>
      </c>
      <c r="F235" s="14" t="s">
        <v>402</v>
      </c>
    </row>
    <row r="236" ht="20.25" customHeight="1">
      <c r="A236" s="5">
        <v>302.0</v>
      </c>
      <c r="B236" s="6">
        <v>251224.0</v>
      </c>
      <c r="C236" s="4"/>
      <c r="D236" s="13" t="s">
        <v>403</v>
      </c>
      <c r="E236" s="8" t="str">
        <f>IFERROR(__xludf.DUMMYFUNCTION("IF(
  LEN(TRIM(D236))=0,
  ""왼쪽에 영어 문장을 입력하세요"",
  GOOGLETRANSLATE(D236,""en"",""ko"")
)"),"페르소나")</f>
        <v>페르소나</v>
      </c>
      <c r="F236" s="14" t="s">
        <v>404</v>
      </c>
    </row>
    <row r="237" ht="20.25" customHeight="1">
      <c r="A237" s="5">
        <v>303.0</v>
      </c>
      <c r="B237" s="6">
        <v>251224.0</v>
      </c>
      <c r="C237" s="4"/>
      <c r="D237" s="13" t="s">
        <v>405</v>
      </c>
      <c r="E237" s="8" t="str">
        <f>IFERROR(__xludf.DUMMYFUNCTION("IF(
  LEN(TRIM(D237))=0,
  ""왼쪽에 영어 문장을 입력하세요"",
  GOOGLETRANSLATE(D237,""en"",""ko"")
)"),"분쇄하다")</f>
        <v>분쇄하다</v>
      </c>
      <c r="F237" s="14" t="s">
        <v>406</v>
      </c>
    </row>
    <row r="238" ht="20.25" customHeight="1">
      <c r="A238" s="5">
        <v>304.0</v>
      </c>
      <c r="B238" s="6">
        <v>251224.0</v>
      </c>
      <c r="C238" s="4"/>
      <c r="D238" s="13" t="s">
        <v>407</v>
      </c>
      <c r="E238" s="8" t="str">
        <f>IFERROR(__xludf.DUMMYFUNCTION("IF(
  LEN(TRIM(D238))=0,
  ""왼쪽에 영어 문장을 입력하세요"",
  GOOGLETRANSLATE(D238,""en"",""ko"")
)"),"한 번의 빠른 타격")</f>
        <v>한 번의 빠른 타격</v>
      </c>
      <c r="F238" s="14" t="s">
        <v>408</v>
      </c>
    </row>
    <row r="239" ht="20.25" customHeight="1">
      <c r="A239" s="5">
        <v>305.0</v>
      </c>
      <c r="B239" s="6">
        <v>251224.0</v>
      </c>
      <c r="C239" s="4"/>
      <c r="D239" s="13" t="s">
        <v>409</v>
      </c>
      <c r="E239" s="8" t="str">
        <f>IFERROR(__xludf.DUMMYFUNCTION("IF(
  LEN(TRIM(D239))=0,
  ""왼쪽에 영어 문장을 입력하세요"",
  GOOGLETRANSLATE(D239,""en"",""ko"")
)"),"반박하다")</f>
        <v>반박하다</v>
      </c>
      <c r="F239" s="14" t="s">
        <v>410</v>
      </c>
    </row>
    <row r="240" ht="20.25" customHeight="1">
      <c r="A240" s="5">
        <v>306.0</v>
      </c>
      <c r="B240" s="6">
        <v>251224.0</v>
      </c>
      <c r="C240" s="4"/>
      <c r="D240" s="13" t="s">
        <v>411</v>
      </c>
      <c r="E240" s="8" t="str">
        <f>IFERROR(__xludf.DUMMYFUNCTION("IF(
  LEN(TRIM(D240))=0,
  ""왼쪽에 영어 문장을 입력하세요"",
  GOOGLETRANSLATE(D240,""en"",""ko"")
)"),"그릇된 생각")</f>
        <v>그릇된 생각</v>
      </c>
      <c r="F240" s="14" t="s">
        <v>412</v>
      </c>
    </row>
    <row r="241" ht="20.25" customHeight="1">
      <c r="A241" s="5">
        <v>307.0</v>
      </c>
      <c r="B241" s="6">
        <v>251224.0</v>
      </c>
      <c r="C241" s="4"/>
      <c r="D241" s="13" t="s">
        <v>413</v>
      </c>
      <c r="E241" s="8" t="str">
        <f>IFERROR(__xludf.DUMMYFUNCTION("IF(
  LEN(TRIM(D241))=0,
  ""왼쪽에 영어 문장을 입력하세요"",
  GOOGLETRANSLATE(D241,""en"",""ko"")
)"),"역설")</f>
        <v>역설</v>
      </c>
      <c r="F241" s="14" t="s">
        <v>414</v>
      </c>
    </row>
    <row r="242" ht="20.25" customHeight="1">
      <c r="A242" s="5">
        <v>308.0</v>
      </c>
      <c r="B242" s="6">
        <v>251224.0</v>
      </c>
      <c r="C242" s="4"/>
      <c r="D242" s="13" t="s">
        <v>415</v>
      </c>
      <c r="E242" s="8" t="str">
        <f>IFERROR(__xludf.DUMMYFUNCTION("IF(
  LEN(TRIM(D242))=0,
  ""왼쪽에 영어 문장을 입력하세요"",
  GOOGLETRANSLATE(D242,""en"",""ko"")
)"),"스며들게 하다")</f>
        <v>스며들게 하다</v>
      </c>
      <c r="F242" s="14" t="s">
        <v>416</v>
      </c>
    </row>
    <row r="243" ht="20.25" customHeight="1">
      <c r="A243" s="5">
        <v>309.0</v>
      </c>
      <c r="B243" s="6">
        <v>251224.0</v>
      </c>
      <c r="C243" s="4"/>
      <c r="D243" s="13" t="s">
        <v>417</v>
      </c>
      <c r="E243" s="8" t="str">
        <f>IFERROR(__xludf.DUMMYFUNCTION("IF(
  LEN(TRIM(D243))=0,
  ""왼쪽에 영어 문장을 입력하세요"",
  GOOGLETRANSLATE(D243,""en"",""ko"")
)"),"빠뜨리는")</f>
        <v>빠뜨리는</v>
      </c>
      <c r="F243" s="14" t="s">
        <v>418</v>
      </c>
    </row>
    <row r="244" ht="20.25" customHeight="1">
      <c r="A244" s="5">
        <v>310.0</v>
      </c>
      <c r="B244" s="6">
        <v>251224.0</v>
      </c>
      <c r="C244" s="4"/>
      <c r="D244" s="13" t="s">
        <v>419</v>
      </c>
      <c r="E244" s="8" t="str">
        <f>IFERROR(__xludf.DUMMYFUNCTION("IF(
  LEN(TRIM(D244))=0,
  ""왼쪽에 영어 문장을 입력하세요"",
  GOOGLETRANSLATE(D244,""en"",""ko"")
)"),"상처 없는")</f>
        <v>상처 없는</v>
      </c>
      <c r="F244" s="14" t="s">
        <v>420</v>
      </c>
    </row>
    <row r="245" ht="20.25" customHeight="1">
      <c r="A245" s="5">
        <v>311.0</v>
      </c>
      <c r="B245" s="6">
        <v>251224.0</v>
      </c>
      <c r="C245" s="4"/>
      <c r="D245" s="13" t="s">
        <v>421</v>
      </c>
      <c r="E245" s="8" t="str">
        <f>IFERROR(__xludf.DUMMYFUNCTION("IF(
  LEN(TRIM(D245))=0,
  ""왼쪽에 영어 문장을 입력하세요"",
  GOOGLETRANSLATE(D245,""en"",""ko"")
)"),"만드는")</f>
        <v>만드는</v>
      </c>
      <c r="F245" s="14" t="s">
        <v>422</v>
      </c>
    </row>
    <row r="246" ht="20.25" customHeight="1">
      <c r="A246" s="5">
        <v>312.0</v>
      </c>
      <c r="B246" s="6">
        <v>251224.0</v>
      </c>
      <c r="C246" s="4"/>
      <c r="D246" s="13" t="s">
        <v>423</v>
      </c>
      <c r="E246" s="8" t="str">
        <f>IFERROR(__xludf.DUMMYFUNCTION("IF(
  LEN(TRIM(D246))=0,
  ""왼쪽에 영어 문장을 입력하세요"",
  GOOGLETRANSLATE(D246,""en"",""ko"")
)"),"발굴하다")</f>
        <v>발굴하다</v>
      </c>
      <c r="F246" s="14" t="s">
        <v>424</v>
      </c>
    </row>
    <row r="247" ht="20.25" customHeight="1">
      <c r="A247" s="5">
        <v>313.0</v>
      </c>
      <c r="B247" s="6">
        <v>251224.0</v>
      </c>
      <c r="C247" s="4"/>
      <c r="D247" s="13" t="s">
        <v>425</v>
      </c>
      <c r="E247" s="8" t="str">
        <f>IFERROR(__xludf.DUMMYFUNCTION("IF(
  LEN(TRIM(D247))=0,
  ""왼쪽에 영어 문장을 입력하세요"",
  GOOGLETRANSLATE(D247,""en"",""ko"")
)"),"잘못 전하다")</f>
        <v>잘못 전하다</v>
      </c>
      <c r="F247" s="14" t="s">
        <v>426</v>
      </c>
    </row>
    <row r="248" ht="20.25" customHeight="1">
      <c r="A248" s="5">
        <v>314.0</v>
      </c>
      <c r="B248" s="6">
        <v>251224.0</v>
      </c>
      <c r="C248" s="4"/>
      <c r="D248" s="13" t="s">
        <v>427</v>
      </c>
      <c r="E248" s="8" t="str">
        <f>IFERROR(__xludf.DUMMYFUNCTION("IF(
  LEN(TRIM(D248))=0,
  ""왼쪽에 영어 문장을 입력하세요"",
  GOOGLETRANSLATE(D248,""en"",""ko"")
)"),"연마제")</f>
        <v>연마제</v>
      </c>
      <c r="F248" s="14" t="s">
        <v>428</v>
      </c>
    </row>
    <row r="249" ht="20.25" customHeight="1">
      <c r="A249" s="5">
        <v>315.0</v>
      </c>
      <c r="B249" s="6">
        <v>251224.0</v>
      </c>
      <c r="C249" s="4"/>
      <c r="D249" s="13" t="s">
        <v>429</v>
      </c>
      <c r="E249" s="8" t="str">
        <f>IFERROR(__xludf.DUMMYFUNCTION("IF(
  LEN(TRIM(D249))=0,
  ""왼쪽에 영어 문장을 입력하세요"",
  GOOGLETRANSLATE(D249,""en"",""ko"")
)"),"돌도끼")</f>
        <v>돌도끼</v>
      </c>
      <c r="F249" s="14" t="s">
        <v>430</v>
      </c>
    </row>
    <row r="250" ht="20.25" customHeight="1">
      <c r="A250" s="5">
        <v>316.0</v>
      </c>
      <c r="B250" s="6">
        <v>251224.0</v>
      </c>
      <c r="C250" s="4"/>
      <c r="D250" s="13" t="s">
        <v>431</v>
      </c>
      <c r="E250" s="8" t="str">
        <f>IFERROR(__xludf.DUMMYFUNCTION("IF(
  LEN(TRIM(D250))=0,
  ""왼쪽에 영어 문장을 입력하세요"",
  GOOGLETRANSLATE(D250,""en"",""ko"")
)"),"매력")</f>
        <v>매력</v>
      </c>
      <c r="F250" s="14" t="s">
        <v>432</v>
      </c>
    </row>
    <row r="251" ht="20.25" customHeight="1">
      <c r="A251" s="5">
        <v>317.0</v>
      </c>
      <c r="B251" s="6">
        <v>251224.0</v>
      </c>
      <c r="C251" s="4"/>
      <c r="D251" s="13" t="s">
        <v>433</v>
      </c>
      <c r="E251" s="8" t="str">
        <f>IFERROR(__xludf.DUMMYFUNCTION("IF(
  LEN(TRIM(D251))=0,
  ""왼쪽에 영어 문장을 입력하세요"",
  GOOGLETRANSLATE(D251,""en"",""ko"")
)"),"마법")</f>
        <v>마법</v>
      </c>
      <c r="F251" s="14" t="s">
        <v>434</v>
      </c>
    </row>
    <row r="252" ht="20.25" customHeight="1">
      <c r="A252" s="5">
        <v>318.0</v>
      </c>
      <c r="B252" s="6">
        <v>251224.0</v>
      </c>
      <c r="C252" s="4"/>
      <c r="D252" s="13" t="s">
        <v>435</v>
      </c>
      <c r="E252" s="8" t="str">
        <f>IFERROR(__xludf.DUMMYFUNCTION("IF(
  LEN(TRIM(D252))=0,
  ""왼쪽에 영어 문장을 입력하세요"",
  GOOGLETRANSLATE(D252,""en"",""ko"")
)"),"질병을 막다")</f>
        <v>질병을 막다</v>
      </c>
      <c r="F252" s="14" t="s">
        <v>436</v>
      </c>
    </row>
    <row r="253" ht="20.25" customHeight="1">
      <c r="A253" s="5">
        <v>319.0</v>
      </c>
      <c r="B253" s="6">
        <v>251224.0</v>
      </c>
      <c r="C253" s="4"/>
      <c r="D253" s="13" t="s">
        <v>437</v>
      </c>
      <c r="E253" s="8" t="str">
        <f>IFERROR(__xludf.DUMMYFUNCTION("IF(
  LEN(TRIM(D253))=0,
  ""왼쪽에 영어 문장을 입력하세요"",
  GOOGLETRANSLATE(D253,""en"",""ko"")
)"),"재앙을 피하세요")</f>
        <v>재앙을 피하세요</v>
      </c>
      <c r="F253" s="14" t="s">
        <v>438</v>
      </c>
    </row>
    <row r="254" ht="20.25" customHeight="1">
      <c r="A254" s="5">
        <v>320.0</v>
      </c>
      <c r="B254" s="6">
        <v>251224.0</v>
      </c>
      <c r="C254" s="4"/>
      <c r="D254" s="13" t="s">
        <v>439</v>
      </c>
      <c r="E254" s="8" t="str">
        <f>IFERROR(__xludf.DUMMYFUNCTION("IF(
  LEN(TRIM(D254))=0,
  ""왼쪽에 영어 문장을 입력하세요"",
  GOOGLETRANSLATE(D254,""en"",""ko"")
)"),"숙고")</f>
        <v>숙고</v>
      </c>
      <c r="F254" s="14" t="s">
        <v>440</v>
      </c>
    </row>
    <row r="255" ht="20.25" customHeight="1">
      <c r="A255" s="5">
        <v>321.0</v>
      </c>
      <c r="B255" s="6">
        <v>251224.0</v>
      </c>
      <c r="C255" s="4"/>
      <c r="D255" s="13" t="s">
        <v>441</v>
      </c>
      <c r="E255" s="8" t="str">
        <f>IFERROR(__xludf.DUMMYFUNCTION("IF(
  LEN(TRIM(D255))=0,
  ""왼쪽에 영어 문장을 입력하세요"",
  GOOGLETRANSLATE(D255,""en"",""ko"")
)"),"두려움에 떨다")</f>
        <v>두려움에 떨다</v>
      </c>
      <c r="F255" s="14" t="s">
        <v>442</v>
      </c>
    </row>
    <row r="256" ht="20.25" customHeight="1">
      <c r="A256" s="5">
        <v>322.0</v>
      </c>
      <c r="B256" s="6">
        <v>251224.0</v>
      </c>
      <c r="C256" s="4"/>
      <c r="D256" s="13" t="s">
        <v>443</v>
      </c>
      <c r="E256" s="8" t="str">
        <f>IFERROR(__xludf.DUMMYFUNCTION("IF(
  LEN(TRIM(D256))=0,
  ""왼쪽에 영어 문장을 입력하세요"",
  GOOGLETRANSLATE(D256,""en"",""ko"")
)"),"앉다")</f>
        <v>앉다</v>
      </c>
      <c r="F256" s="14" t="s">
        <v>444</v>
      </c>
    </row>
    <row r="257" ht="20.25" customHeight="1">
      <c r="A257" s="5">
        <v>323.0</v>
      </c>
      <c r="B257" s="6">
        <v>251224.0</v>
      </c>
      <c r="C257" s="4"/>
      <c r="D257" s="13" t="s">
        <v>445</v>
      </c>
      <c r="E257" s="8" t="str">
        <f>IFERROR(__xludf.DUMMYFUNCTION("IF(
  LEN(TRIM(D257))=0,
  ""왼쪽에 영어 문장을 입력하세요"",
  GOOGLETRANSLATE(D257,""en"",""ko"")
)"),"무신론자")</f>
        <v>무신론자</v>
      </c>
      <c r="F257" s="14" t="s">
        <v>446</v>
      </c>
    </row>
    <row r="258" ht="20.25" customHeight="1">
      <c r="A258" s="5">
        <v>324.0</v>
      </c>
      <c r="B258" s="6">
        <v>251224.0</v>
      </c>
      <c r="C258" s="4"/>
      <c r="D258" s="13" t="s">
        <v>447</v>
      </c>
      <c r="E258" s="8" t="str">
        <f>IFERROR(__xludf.DUMMYFUNCTION("IF(
  LEN(TRIM(D258))=0,
  ""왼쪽에 영어 문장을 입력하세요"",
  GOOGLETRANSLATE(D258,""en"",""ko"")
)"),"분비하다")</f>
        <v>분비하다</v>
      </c>
      <c r="F258" s="14" t="s">
        <v>448</v>
      </c>
    </row>
    <row r="259" ht="20.25" customHeight="1">
      <c r="A259" s="5">
        <v>325.0</v>
      </c>
      <c r="B259" s="6">
        <v>251224.0</v>
      </c>
      <c r="C259" s="4"/>
      <c r="D259" s="13" t="s">
        <v>449</v>
      </c>
      <c r="E259" s="8" t="str">
        <f>IFERROR(__xludf.DUMMYFUNCTION("IF(
  LEN(TRIM(D259))=0,
  ""왼쪽에 영어 문장을 입력하세요"",
  GOOGLETRANSLATE(D259,""en"",""ko"")
)"),"분비")</f>
        <v>분비</v>
      </c>
      <c r="F259" s="14" t="s">
        <v>450</v>
      </c>
    </row>
    <row r="260" ht="20.25" customHeight="1">
      <c r="A260" s="5">
        <v>326.0</v>
      </c>
      <c r="B260" s="6">
        <v>251224.0</v>
      </c>
      <c r="C260" s="4"/>
      <c r="D260" s="13" t="s">
        <v>451</v>
      </c>
      <c r="E260" s="8" t="str">
        <f>IFERROR(__xludf.DUMMYFUNCTION("IF(
  LEN(TRIM(D260))=0,
  ""왼쪽에 영어 문장을 입력하세요"",
  GOOGLETRANSLATE(D260,""en"",""ko"")
)"),"~에 취약하다")</f>
        <v>~에 취약하다</v>
      </c>
      <c r="F260" s="14" t="s">
        <v>452</v>
      </c>
    </row>
    <row r="261" ht="20.25" customHeight="1">
      <c r="A261" s="5">
        <v>327.0</v>
      </c>
      <c r="B261" s="6">
        <v>251224.0</v>
      </c>
      <c r="C261" s="4"/>
      <c r="D261" s="13" t="s">
        <v>453</v>
      </c>
      <c r="E261" s="8" t="str">
        <f>IFERROR(__xludf.DUMMYFUNCTION("IF(
  LEN(TRIM(D261))=0,
  ""왼쪽에 영어 문장을 입력하세요"",
  GOOGLETRANSLATE(D261,""en"",""ko"")
)"),"오래된 건물이라 지진으로 인한 피해에 취약합니다.")</f>
        <v>오래된 건물이라 지진으로 인한 피해에 취약합니다.</v>
      </c>
      <c r="F261" s="14" t="s">
        <v>454</v>
      </c>
    </row>
    <row r="262" ht="20.25" customHeight="1">
      <c r="A262" s="5">
        <v>328.0</v>
      </c>
      <c r="B262" s="6">
        <v>251224.0</v>
      </c>
      <c r="C262" s="4"/>
      <c r="D262" s="13" t="s">
        <v>455</v>
      </c>
      <c r="E262" s="8" t="str">
        <f>IFERROR(__xludf.DUMMYFUNCTION("IF(
  LEN(TRIM(D262))=0,
  ""왼쪽에 영어 문장을 입력하세요"",
  GOOGLETRANSLATE(D262,""en"",""ko"")
)"),"어린이는 어른보다 감기에 더 잘 걸립니다.")</f>
        <v>어린이는 어른보다 감기에 더 잘 걸립니다.</v>
      </c>
      <c r="F262" s="14" t="s">
        <v>456</v>
      </c>
    </row>
    <row r="263" ht="20.25" customHeight="1">
      <c r="A263" s="5">
        <v>329.0</v>
      </c>
      <c r="B263" s="6">
        <v>251224.0</v>
      </c>
      <c r="C263" s="4"/>
      <c r="D263" s="13" t="s">
        <v>457</v>
      </c>
      <c r="E263" s="8" t="str">
        <f>IFERROR(__xludf.DUMMYFUNCTION("IF(
  LEN(TRIM(D263))=0,
  ""왼쪽에 영어 문장을 입력하세요"",
  GOOGLETRANSLATE(D263,""en"",""ko"")
)"),"누군가를 혹독하게 괴롭히다")</f>
        <v>누군가를 혹독하게 괴롭히다</v>
      </c>
      <c r="F263" s="14" t="s">
        <v>458</v>
      </c>
    </row>
    <row r="264" ht="20.25" customHeight="1">
      <c r="A264" s="5">
        <v>330.0</v>
      </c>
      <c r="B264" s="6">
        <v>251224.0</v>
      </c>
      <c r="C264" s="4"/>
      <c r="D264" s="13" t="s">
        <v>459</v>
      </c>
      <c r="E264" s="8" t="str">
        <f>IFERROR(__xludf.DUMMYFUNCTION("IF(
  LEN(TRIM(D264))=0,
  ""왼쪽에 영어 문장을 입력하세요"",
  GOOGLETRANSLATE(D264,""en"",""ko"")
)"),"당연히 따라오는 것")</f>
        <v>당연히 따라오는 것</v>
      </c>
      <c r="F264" s="14" t="s">
        <v>460</v>
      </c>
    </row>
    <row r="265" ht="20.25" customHeight="1">
      <c r="A265" s="5">
        <v>331.0</v>
      </c>
      <c r="B265" s="6">
        <v>251224.0</v>
      </c>
      <c r="C265" s="4"/>
      <c r="D265" s="13" t="s">
        <v>461</v>
      </c>
      <c r="E265" s="8" t="str">
        <f>IFERROR(__xludf.DUMMYFUNCTION("IF(
  LEN(TRIM(D265))=0,
  ""왼쪽에 영어 문장을 입력하세요"",
  GOOGLETRANSLATE(D265,""en"",""ko"")
)"),"비판을 받아들이는 것은 결코 쉽지 않지만, 어쩔 수 없는 일입니다.")</f>
        <v>비판을 받아들이는 것은 결코 쉽지 않지만, 어쩔 수 없는 일입니다.</v>
      </c>
      <c r="F265" s="14" t="s">
        <v>462</v>
      </c>
    </row>
    <row r="266" ht="20.25" customHeight="1">
      <c r="A266" s="5">
        <v>332.0</v>
      </c>
      <c r="B266" s="6">
        <v>251224.0</v>
      </c>
      <c r="C266" s="4"/>
      <c r="D266" s="13" t="s">
        <v>463</v>
      </c>
      <c r="E266" s="8" t="str">
        <f>IFERROR(__xludf.DUMMYFUNCTION("IF(
  LEN(TRIM(D266))=0,
  ""왼쪽에 영어 문장을 입력하세요"",
  GOOGLETRANSLATE(D266,""en"",""ko"")
)"),"...없이 지내다")</f>
        <v>...없이 지내다</v>
      </c>
      <c r="F266" s="14" t="s">
        <v>464</v>
      </c>
    </row>
    <row r="267" ht="20.25" customHeight="1">
      <c r="A267" s="5">
        <v>333.0</v>
      </c>
      <c r="B267" s="6">
        <v>251224.0</v>
      </c>
      <c r="C267" s="4"/>
      <c r="D267" s="13" t="s">
        <v>465</v>
      </c>
      <c r="E267" s="8" t="str">
        <f>IFERROR(__xludf.DUMMYFUNCTION("IF(
  LEN(TRIM(D267))=0,
  ""왼쪽에 영어 문장을 입력하세요"",
  GOOGLETRANSLATE(D267,""en"",""ko"")
)"),"수포")</f>
        <v>수포</v>
      </c>
      <c r="F267" s="14" t="s">
        <v>466</v>
      </c>
    </row>
    <row r="268" ht="20.25" customHeight="1">
      <c r="A268" s="5">
        <v>334.0</v>
      </c>
      <c r="B268" s="6">
        <v>251224.0</v>
      </c>
      <c r="C268" s="4"/>
      <c r="D268" s="13" t="s">
        <v>467</v>
      </c>
      <c r="E268" s="8" t="str">
        <f>IFERROR(__xludf.DUMMYFUNCTION("IF(
  LEN(TRIM(D268))=0,
  ""왼쪽에 영어 문장을 입력하세요"",
  GOOGLETRANSLATE(D268,""en"",""ko"")
)"),"그는 이른 아침 기차를 타기 위해 평소처럼 아침 커피를 포기해야 했다.")</f>
        <v>그는 이른 아침 기차를 타기 위해 평소처럼 아침 커피를 포기해야 했다.</v>
      </c>
      <c r="F268" s="14" t="s">
        <v>468</v>
      </c>
    </row>
    <row r="269" ht="20.25" customHeight="1">
      <c r="A269" s="5">
        <v>335.0</v>
      </c>
      <c r="B269" s="6">
        <v>251224.0</v>
      </c>
      <c r="C269" s="4"/>
      <c r="D269" s="13" t="s">
        <v>469</v>
      </c>
      <c r="E269" s="8" t="str">
        <f>IFERROR(__xludf.DUMMYFUNCTION("IF(
  LEN(TRIM(D269))=0,
  ""왼쪽에 영어 문장을 입력하세요"",
  GOOGLETRANSLATE(D269,""en"",""ko"")
)"),"무언가 먹고 싶다")</f>
        <v>무언가 먹고 싶다</v>
      </c>
      <c r="F269" s="14" t="s">
        <v>470</v>
      </c>
    </row>
    <row r="270" ht="20.25" customHeight="1">
      <c r="A270" s="5">
        <v>336.0</v>
      </c>
      <c r="B270" s="6">
        <v>251224.0</v>
      </c>
      <c r="C270" s="4"/>
      <c r="D270" s="13" t="s">
        <v>471</v>
      </c>
      <c r="E270" s="8" t="str">
        <f>IFERROR(__xludf.DUMMYFUNCTION("IF(
  LEN(TRIM(D270))=0,
  ""왼쪽에 영어 문장을 입력하세요"",
  GOOGLETRANSLATE(D270,""en"",""ko"")
)"),"피자가 너무 먹고 싶어요.")</f>
        <v>피자가 너무 먹고 싶어요.</v>
      </c>
      <c r="F270" s="14" t="s">
        <v>472</v>
      </c>
    </row>
    <row r="271" ht="20.25" customHeight="1">
      <c r="A271" s="5">
        <v>337.0</v>
      </c>
      <c r="B271" s="6">
        <v>251224.0</v>
      </c>
      <c r="C271" s="4"/>
      <c r="D271" s="13" t="s">
        <v>473</v>
      </c>
      <c r="E271" s="8" t="str">
        <f>IFERROR(__xludf.DUMMYFUNCTION("IF(
  LEN(TRIM(D271))=0,
  ""왼쪽에 영어 문장을 입력하세요"",
  GOOGLETRANSLATE(D271,""en"",""ko"")
)"),"엄청 싸다")</f>
        <v>엄청 싸다</v>
      </c>
      <c r="F271" s="14" t="s">
        <v>474</v>
      </c>
    </row>
    <row r="272" ht="20.25" customHeight="1">
      <c r="A272" s="5">
        <v>338.0</v>
      </c>
      <c r="B272" s="6">
        <v>251224.0</v>
      </c>
      <c r="C272" s="4"/>
      <c r="D272" s="13" t="s">
        <v>475</v>
      </c>
      <c r="E272" s="8" t="str">
        <f>IFERROR(__xludf.DUMMYFUNCTION("IF(
  LEN(TRIM(D272))=0,
  ""왼쪽에 영어 문장을 입력하세요"",
  GOOGLETRANSLATE(D272,""en"",""ko"")
)"),"호텔 객실 가격이 요즘 엄청 싸네요.")</f>
        <v>호텔 객실 가격이 요즘 엄청 싸네요.</v>
      </c>
      <c r="F272" s="14" t="s">
        <v>476</v>
      </c>
    </row>
    <row r="273" ht="20.25" customHeight="1">
      <c r="A273" s="5">
        <v>339.0</v>
      </c>
      <c r="B273" s="6">
        <v>251224.0</v>
      </c>
      <c r="C273" s="4"/>
      <c r="D273" s="13" t="s">
        <v>477</v>
      </c>
      <c r="E273" s="8" t="str">
        <f>IFERROR(__xludf.DUMMYFUNCTION("IF(
  LEN(TRIM(D273))=0,
  ""왼쪽에 영어 문장을 입력하세요"",
  GOOGLETRANSLATE(D273,""en"",""ko"")
)"),"미치겠어")</f>
        <v>미치겠어</v>
      </c>
      <c r="F273" s="14" t="s">
        <v>478</v>
      </c>
    </row>
    <row r="274" ht="20.25" customHeight="1">
      <c r="A274" s="5">
        <v>340.0</v>
      </c>
      <c r="B274" s="6">
        <v>251224.0</v>
      </c>
      <c r="C274" s="4"/>
      <c r="D274" s="13" t="s">
        <v>479</v>
      </c>
      <c r="E274" s="8" t="str">
        <f>IFERROR(__xludf.DUMMYFUNCTION("IF(
  LEN(TRIM(D274))=0,
  ""왼쪽에 영어 문장을 입력하세요"",
  GOOGLETRANSLATE(D274,""en"",""ko"")
)"),"그녀의 늦은 시간 습관 때문에 정말 미칠 것 같아.")</f>
        <v>그녀의 늦은 시간 습관 때문에 정말 미칠 것 같아.</v>
      </c>
      <c r="F274" s="14" t="s">
        <v>480</v>
      </c>
    </row>
    <row r="275" ht="20.25" customHeight="1">
      <c r="A275" s="5">
        <v>341.0</v>
      </c>
      <c r="B275" s="6">
        <v>251224.0</v>
      </c>
      <c r="C275" s="4"/>
      <c r="D275" s="13" t="s">
        <v>481</v>
      </c>
      <c r="E275" s="8" t="str">
        <f>IFERROR(__xludf.DUMMYFUNCTION("IF(
  LEN(TRIM(D275))=0,
  ""왼쪽에 영어 문장을 입력하세요"",
  GOOGLETRANSLATE(D275,""en"",""ko"")
)"),"공을 잡고")</f>
        <v>공을 잡고</v>
      </c>
      <c r="F275" s="14" t="s">
        <v>482</v>
      </c>
    </row>
    <row r="276" ht="20.25" customHeight="1">
      <c r="A276" s="5">
        <v>342.0</v>
      </c>
      <c r="B276" s="6">
        <v>251224.0</v>
      </c>
      <c r="C276" s="4"/>
      <c r="D276" s="13" t="s">
        <v>483</v>
      </c>
      <c r="E276" s="8" t="str">
        <f>IFERROR(__xludf.DUMMYFUNCTION("IF(
  LEN(TRIM(D276))=0,
  ""왼쪽에 영어 문장을 입력하세요"",
  GOOGLETRANSLATE(D276,""en"",""ko"")
)"),"그는 정말 똑똑해요.")</f>
        <v>그는 정말 똑똑해요.</v>
      </c>
      <c r="F276" s="14" t="s">
        <v>484</v>
      </c>
    </row>
    <row r="277" ht="20.25" customHeight="1">
      <c r="A277" s="5">
        <v>343.0</v>
      </c>
      <c r="B277" s="6">
        <v>251224.0</v>
      </c>
      <c r="C277" s="4"/>
      <c r="D277" s="13" t="s">
        <v>485</v>
      </c>
      <c r="E277" s="8" t="str">
        <f>IFERROR(__xludf.DUMMYFUNCTION("IF(
  LEN(TRIM(D277))=0,
  ""왼쪽에 영어 문장을 입력하세요"",
  GOOGLETRANSLATE(D277,""en"",""ko"")
)"),"이런 말을 갑자기 해서 미안하지만")</f>
        <v>이런 말을 갑자기 해서 미안하지만</v>
      </c>
      <c r="F277" s="14" t="s">
        <v>486</v>
      </c>
    </row>
    <row r="278" ht="20.25" customHeight="1">
      <c r="A278" s="5">
        <v>344.0</v>
      </c>
      <c r="B278" s="6">
        <v>251224.0</v>
      </c>
      <c r="C278" s="4"/>
      <c r="D278" s="13" t="s">
        <v>487</v>
      </c>
      <c r="E278" s="8" t="str">
        <f>IFERROR(__xludf.DUMMYFUNCTION("IF(
  LEN(TRIM(D278))=0,
  ""왼쪽에 영어 문장을 입력하세요"",
  GOOGLETRANSLATE(D278,""en"",""ko"")
)"),"상사가 프로젝트에 몇 가지 큰 변경 사항을 갑자기 통보했어요.")</f>
        <v>상사가 프로젝트에 몇 가지 큰 변경 사항을 갑자기 통보했어요.</v>
      </c>
      <c r="F278" s="14" t="s">
        <v>488</v>
      </c>
    </row>
    <row r="279" ht="20.25" customHeight="1">
      <c r="A279" s="5">
        <v>345.0</v>
      </c>
      <c r="B279" s="6">
        <v>251224.0</v>
      </c>
      <c r="C279" s="4"/>
      <c r="D279" s="13" t="s">
        <v>489</v>
      </c>
      <c r="E279" s="8" t="str">
        <f>IFERROR(__xludf.DUMMYFUNCTION("IF(
  LEN(TRIM(D279))=0,
  ""왼쪽에 영어 문장을 입력하세요"",
  GOOGLETRANSLATE(D279,""en"",""ko"")
)"),"마지막 순간에 이런 소식을 전하게 되어 정말 죄송합니다.
")</f>
        <v>마지막 순간에 이런 소식을 전하게 되어 정말 죄송합니다.
</v>
      </c>
      <c r="F279" s="14" t="s">
        <v>490</v>
      </c>
    </row>
    <row r="280" ht="20.25" customHeight="1">
      <c r="A280" s="5">
        <v>346.0</v>
      </c>
      <c r="B280" s="6">
        <v>251224.0</v>
      </c>
      <c r="C280" s="4"/>
      <c r="D280" s="13" t="s">
        <v>491</v>
      </c>
      <c r="E280" s="8" t="str">
        <f>IFERROR(__xludf.DUMMYFUNCTION("IF(
  LEN(TRIM(D280))=0,
  ""왼쪽에 영어 문장을 입력하세요"",
  GOOGLETRANSLATE(D280,""en"",""ko"")
)"),"순수한 의지")</f>
        <v>순수한 의지</v>
      </c>
      <c r="F280" s="14" t="s">
        <v>492</v>
      </c>
    </row>
    <row r="281" ht="20.25" customHeight="1">
      <c r="A281" s="5">
        <v>347.0</v>
      </c>
      <c r="B281" s="6">
        <v>251224.0</v>
      </c>
      <c r="C281" s="4"/>
      <c r="D281" s="13" t="s">
        <v>493</v>
      </c>
      <c r="E281" s="8" t="str">
        <f>IFERROR(__xludf.DUMMYFUNCTION("IF(
  LEN(TRIM(D281))=0,
  ""왼쪽에 영어 문장을 입력하세요"",
  GOOGLETRANSLATE(D281,""en"",""ko"")
)"),"방목")</f>
        <v>방목</v>
      </c>
      <c r="F281" s="14" t="s">
        <v>494</v>
      </c>
    </row>
    <row r="282" ht="20.25" customHeight="1">
      <c r="A282" s="5">
        <v>348.0</v>
      </c>
      <c r="B282" s="6">
        <v>251224.0</v>
      </c>
      <c r="C282" s="4"/>
      <c r="D282" s="13" t="s">
        <v>495</v>
      </c>
      <c r="E282" s="8" t="str">
        <f>IFERROR(__xludf.DUMMYFUNCTION("IF(
  LEN(TRIM(D282))=0,
  ""왼쪽에 영어 문장을 입력하세요"",
  GOOGLETRANSLATE(D282,""en"",""ko"")
)"),"길을 떠나다")</f>
        <v>길을 떠나다</v>
      </c>
      <c r="F282" s="14" t="s">
        <v>496</v>
      </c>
    </row>
    <row r="283" ht="20.25" customHeight="1">
      <c r="A283" s="5">
        <v>349.0</v>
      </c>
      <c r="B283" s="6">
        <v>251224.0</v>
      </c>
      <c r="C283" s="4"/>
      <c r="D283" s="13" t="s">
        <v>497</v>
      </c>
      <c r="E283" s="8" t="str">
        <f>IFERROR(__xludf.DUMMYFUNCTION("IF(
  LEN(TRIM(D283))=0,
  ""왼쪽에 영어 문장을 입력하세요"",
  GOOGLETRANSLATE(D283,""en"",""ko"")
)"),"위생")</f>
        <v>위생</v>
      </c>
      <c r="F283" s="14" t="s">
        <v>498</v>
      </c>
    </row>
    <row r="284" ht="20.25" customHeight="1">
      <c r="A284" s="5">
        <v>350.0</v>
      </c>
      <c r="B284" s="6">
        <v>251224.0</v>
      </c>
      <c r="C284" s="4"/>
      <c r="D284" s="13" t="s">
        <v>499</v>
      </c>
      <c r="E284" s="8" t="str">
        <f>IFERROR(__xludf.DUMMYFUNCTION("IF(
  LEN(TRIM(D284))=0,
  ""왼쪽에 영어 문장을 입력하세요"",
  GOOGLETRANSLATE(D284,""en"",""ko"")
)"),"위생 상태가 좋지 않음")</f>
        <v>위생 상태가 좋지 않음</v>
      </c>
      <c r="F284" s="14" t="s">
        <v>500</v>
      </c>
    </row>
    <row r="285" ht="20.25" customHeight="1">
      <c r="A285" s="5">
        <v>351.0</v>
      </c>
      <c r="B285" s="6">
        <v>251224.0</v>
      </c>
      <c r="C285" s="4"/>
      <c r="D285" s="13" t="s">
        <v>501</v>
      </c>
      <c r="E285" s="8" t="str">
        <f>IFERROR(__xludf.DUMMYFUNCTION("IF(
  LEN(TRIM(D285))=0,
  ""왼쪽에 영어 문장을 입력하세요"",
  GOOGLETRANSLATE(D285,""en"",""ko"")
)"),"무언가에 찬물을 끼얹다")</f>
        <v>무언가에 찬물을 끼얹다</v>
      </c>
      <c r="F285" s="14" t="s">
        <v>502</v>
      </c>
    </row>
    <row r="286" ht="20.25" customHeight="1">
      <c r="A286" s="5">
        <v>352.0</v>
      </c>
      <c r="B286" s="6">
        <v>251224.0</v>
      </c>
      <c r="C286" s="4"/>
      <c r="D286" s="13" t="s">
        <v>503</v>
      </c>
      <c r="E286" s="8" t="str">
        <f>IFERROR(__xludf.DUMMYFUNCTION("IF(
  LEN(TRIM(D286))=0,
  ""왼쪽에 영어 문장을 입력하세요"",
  GOOGLETRANSLATE(D286,""en"",""ko"")
)"),"악천후 때문에 우리의 피크닉 계획이 완전히 망쳐졌다.
")</f>
        <v>악천후 때문에 우리의 피크닉 계획이 완전히 망쳐졌다.
</v>
      </c>
      <c r="F286" s="14" t="s">
        <v>504</v>
      </c>
    </row>
    <row r="287" ht="20.25" customHeight="1">
      <c r="A287" s="5">
        <v>353.0</v>
      </c>
      <c r="B287" s="6">
        <v>251224.0</v>
      </c>
      <c r="C287" s="4"/>
      <c r="D287" s="13" t="s">
        <v>505</v>
      </c>
      <c r="E287" s="8" t="str">
        <f>IFERROR(__xludf.DUMMYFUNCTION("IF(
  LEN(TRIM(D287))=0,
  ""왼쪽에 영어 문장을 입력하세요"",
  GOOGLETRANSLATE(D287,""en"",""ko"")
)"),"온화한")</f>
        <v>온화한</v>
      </c>
      <c r="F287" s="14" t="s">
        <v>506</v>
      </c>
    </row>
    <row r="288" ht="20.25" customHeight="1">
      <c r="A288" s="5">
        <v>354.0</v>
      </c>
      <c r="B288" s="6">
        <v>251224.0</v>
      </c>
      <c r="C288" s="4"/>
      <c r="D288" s="13" t="s">
        <v>507</v>
      </c>
      <c r="E288" s="8" t="str">
        <f>IFERROR(__xludf.DUMMYFUNCTION("IF(
  LEN(TRIM(D288))=0,
  ""왼쪽에 영어 문장을 입력하세요"",
  GOOGLETRANSLATE(D288,""en"",""ko"")
)"),"잠자리에 들다")</f>
        <v>잠자리에 들다</v>
      </c>
      <c r="F288" s="14" t="s">
        <v>508</v>
      </c>
    </row>
    <row r="289" ht="20.25" customHeight="1">
      <c r="A289" s="5">
        <v>355.0</v>
      </c>
      <c r="B289" s="6">
        <v>251224.0</v>
      </c>
      <c r="C289" s="4"/>
      <c r="D289" s="13" t="s">
        <v>509</v>
      </c>
      <c r="E289" s="8" t="str">
        <f>IFERROR(__xludf.DUMMYFUNCTION("IF(
  LEN(TRIM(D289))=0,
  ""왼쪽에 영어 문장을 입력하세요"",
  GOOGLETRANSLATE(D289,""en"",""ko"")
)"),"우리는 반려동물을 너무 사랑해서 죽음에 이르게 하는 걸까요?")</f>
        <v>우리는 반려동물을 너무 사랑해서 죽음에 이르게 하는 걸까요?</v>
      </c>
      <c r="F289" s="14" t="s">
        <v>510</v>
      </c>
    </row>
    <row r="290" ht="20.25" customHeight="1">
      <c r="A290" s="5">
        <v>356.0</v>
      </c>
      <c r="B290" s="6">
        <v>251224.0</v>
      </c>
      <c r="C290" s="4"/>
      <c r="D290" s="13" t="s">
        <v>511</v>
      </c>
      <c r="E290" s="8" t="str">
        <f>IFERROR(__xludf.DUMMYFUNCTION("IF(
  LEN(TRIM(D290))=0,
  ""왼쪽에 영어 문장을 입력하세요"",
  GOOGLETRANSLATE(D290,""en"",""ko"")
)"),"무언가를 아끼다")</f>
        <v>무언가를 아끼다</v>
      </c>
      <c r="F290" s="14" t="s">
        <v>512</v>
      </c>
    </row>
    <row r="291" ht="20.25" customHeight="1">
      <c r="A291" s="5">
        <v>357.0</v>
      </c>
      <c r="B291" s="6">
        <v>251224.0</v>
      </c>
      <c r="C291" s="4"/>
      <c r="D291" s="13" t="s">
        <v>513</v>
      </c>
      <c r="E291" s="8" t="str">
        <f>IFERROR(__xludf.DUMMYFUNCTION("IF(
  LEN(TRIM(D291))=0,
  ""왼쪽에 영어 문장을 입력하세요"",
  GOOGLETRANSLATE(D291,""en"",""ko"")
)"),"양파를 아끼지 마세요")</f>
        <v>양파를 아끼지 마세요</v>
      </c>
      <c r="F291" s="14" t="s">
        <v>514</v>
      </c>
    </row>
    <row r="292" ht="20.25" customHeight="1">
      <c r="A292" s="5">
        <v>358.0</v>
      </c>
      <c r="B292" s="6">
        <v>251224.0</v>
      </c>
      <c r="C292" s="4"/>
      <c r="D292" s="13" t="s">
        <v>515</v>
      </c>
      <c r="E292" s="8" t="str">
        <f>IFERROR(__xludf.DUMMYFUNCTION("IF(
  LEN(TRIM(D292))=0,
  ""왼쪽에 영어 문장을 입력하세요"",
  GOOGLETRANSLATE(D292,""en"",""ko"")
)"),"격렬한")</f>
        <v>격렬한</v>
      </c>
      <c r="F292" s="14" t="s">
        <v>516</v>
      </c>
    </row>
    <row r="293" ht="20.25" customHeight="1">
      <c r="A293" s="5">
        <v>359.0</v>
      </c>
      <c r="B293" s="6">
        <v>251224.0</v>
      </c>
      <c r="C293" s="4"/>
      <c r="D293" s="13" t="s">
        <v>517</v>
      </c>
      <c r="E293" s="8" t="str">
        <f>IFERROR(__xludf.DUMMYFUNCTION("IF(
  LEN(TRIM(D293))=0,
  ""왼쪽에 영어 문장을 입력하세요"",
  GOOGLETRANSLATE(D293,""en"",""ko"")
)"),"과감하게 뛰어들다")</f>
        <v>과감하게 뛰어들다</v>
      </c>
      <c r="F293" s="14" t="s">
        <v>518</v>
      </c>
    </row>
    <row r="294" ht="20.25" customHeight="1">
      <c r="A294" s="5">
        <v>360.0</v>
      </c>
      <c r="B294" s="6">
        <v>251224.0</v>
      </c>
      <c r="C294" s="4"/>
      <c r="D294" s="13" t="s">
        <v>519</v>
      </c>
      <c r="E294" s="8" t="str">
        <f>IFERROR(__xludf.DUMMYFUNCTION("IF(
  LEN(TRIM(D294))=0,
  ""왼쪽에 영어 문장을 입력하세요"",
  GOOGLETRANSLATE(D294,""en"",""ko"")
)"),"수년간 고민 끝에 그는 마침내 결심을 굳히고 직장을 그만두고 세계 여행을 떠났다.
")</f>
        <v>수년간 고민 끝에 그는 마침내 결심을 굳히고 직장을 그만두고 세계 여행을 떠났다.
</v>
      </c>
      <c r="F294" s="14" t="s">
        <v>520</v>
      </c>
    </row>
    <row r="295" ht="20.25" customHeight="1">
      <c r="A295" s="5">
        <v>361.0</v>
      </c>
      <c r="B295" s="6">
        <v>251224.0</v>
      </c>
      <c r="C295" s="4"/>
      <c r="D295" s="13" t="s">
        <v>521</v>
      </c>
      <c r="E295" s="8" t="str">
        <f>IFERROR(__xludf.DUMMYFUNCTION("IF(
  LEN(TRIM(D295))=0,
  ""왼쪽에 영어 문장을 입력하세요"",
  GOOGLETRANSLATE(D295,""en"",""ko"")
)"),"웃으면서 참아라")</f>
        <v>웃으면서 참아라</v>
      </c>
      <c r="F295" s="14" t="s">
        <v>522</v>
      </c>
    </row>
    <row r="296" ht="20.25" customHeight="1">
      <c r="A296" s="5">
        <v>362.0</v>
      </c>
      <c r="B296" s="6">
        <v>251224.0</v>
      </c>
      <c r="C296" s="4"/>
      <c r="D296" s="13" t="s">
        <v>523</v>
      </c>
      <c r="E296" s="8" t="str">
        <f>IFERROR(__xludf.DUMMYFUNCTION("IF(
  LEN(TRIM(D296))=0,
  ""왼쪽에 영어 문장을 입력하세요"",
  GOOGLETRANSLATE(D296,""en"",""ko"")
)"),"그냥 참고 견뎌야 해.")</f>
        <v>그냥 참고 견뎌야 해.</v>
      </c>
      <c r="F296" s="14" t="s">
        <v>524</v>
      </c>
    </row>
    <row r="297" ht="20.25" customHeight="1">
      <c r="A297" s="5">
        <v>363.0</v>
      </c>
      <c r="B297" s="6">
        <v>251224.0</v>
      </c>
      <c r="C297" s="4"/>
      <c r="D297" s="13" t="s">
        <v>525</v>
      </c>
      <c r="E297" s="8" t="str">
        <f>IFERROR(__xludf.DUMMYFUNCTION("IF(
  LEN(TRIM(D297))=0,
  ""왼쪽에 영어 문장을 입력하세요"",
  GOOGLETRANSLATE(D297,""en"",""ko"")
)"),"시장을 장악하다")</f>
        <v>시장을 장악하다</v>
      </c>
      <c r="F297" s="14" t="s">
        <v>526</v>
      </c>
    </row>
    <row r="298" ht="20.25" customHeight="1">
      <c r="A298" s="5">
        <v>364.0</v>
      </c>
      <c r="B298" s="6">
        <v>251224.0</v>
      </c>
      <c r="C298" s="4"/>
      <c r="D298" s="13" t="s">
        <v>527</v>
      </c>
      <c r="E298" s="8" t="str">
        <f>IFERROR(__xludf.DUMMYFUNCTION("IF(
  LEN(TRIM(D298))=0,
  ""왼쪽에 영어 문장을 입력하세요"",
  GOOGLETRANSLATE(D298,""en"",""ko"")
)"),"잘라")</f>
        <v>잘라</v>
      </c>
      <c r="F298" s="14" t="s">
        <v>528</v>
      </c>
    </row>
    <row r="299" ht="20.25" customHeight="1">
      <c r="A299" s="5">
        <v>365.0</v>
      </c>
      <c r="B299" s="6">
        <v>251224.0</v>
      </c>
      <c r="C299" s="4"/>
      <c r="D299" s="13" t="s">
        <v>529</v>
      </c>
      <c r="E299" s="8" t="str">
        <f>IFERROR(__xludf.DUMMYFUNCTION("IF(
  LEN(TRIM(D299))=0,
  ""왼쪽에 영어 문장을 입력하세요"",
  GOOGLETRANSLATE(D299,""en"",""ko"")
)"),"당신의 변명은 더 이상 통하지 않아요")</f>
        <v>당신의 변명은 더 이상 통하지 않아요</v>
      </c>
      <c r="F299" s="14" t="s">
        <v>530</v>
      </c>
    </row>
    <row r="300" ht="20.25" customHeight="1">
      <c r="A300" s="5">
        <v>366.0</v>
      </c>
      <c r="B300" s="6">
        <v>251224.0</v>
      </c>
      <c r="C300" s="4"/>
      <c r="D300" s="13" t="s">
        <v>531</v>
      </c>
      <c r="E300" s="8" t="str">
        <f>IFERROR(__xludf.DUMMYFUNCTION("IF(
  LEN(TRIM(D300))=0,
  ""왼쪽에 영어 문장을 입력하세요"",
  GOOGLETRANSLATE(D300,""en"",""ko"")
)"),"네 성적은 그 대학에 들어가기에 부족해.")</f>
        <v>네 성적은 그 대학에 들어가기에 부족해.</v>
      </c>
      <c r="F300" s="14" t="s">
        <v>532</v>
      </c>
    </row>
    <row r="301" ht="20.25" customHeight="1">
      <c r="A301" s="5">
        <v>367.0</v>
      </c>
      <c r="B301" s="6">
        <v>251224.0</v>
      </c>
      <c r="C301" s="4"/>
      <c r="D301" s="13" t="s">
        <v>533</v>
      </c>
      <c r="E301" s="8" t="str">
        <f>IFERROR(__xludf.DUMMYFUNCTION("IF(
  LEN(TRIM(D301))=0,
  ""왼쪽에 영어 문장을 입력하세요"",
  GOOGLETRANSLATE(D301,""en"",""ko"")
)"),"파괴하다")</f>
        <v>파괴하다</v>
      </c>
      <c r="F301" s="14" t="s">
        <v>534</v>
      </c>
    </row>
    <row r="302" ht="20.25" customHeight="1">
      <c r="A302" s="5">
        <v>368.0</v>
      </c>
      <c r="B302" s="6">
        <v>251224.0</v>
      </c>
      <c r="C302" s="4"/>
      <c r="D302" s="13" t="s">
        <v>535</v>
      </c>
      <c r="E302" s="8" t="str">
        <f>IFERROR(__xludf.DUMMYFUNCTION("IF(
  LEN(TRIM(D302))=0,
  ""왼쪽에 영어 문장을 입력하세요"",
  GOOGLETRANSLATE(D302,""en"",""ko"")
)"),"최근 폭풍으로 농작물이 큰 피해를 입었습니다.")</f>
        <v>최근 폭풍으로 농작물이 큰 피해를 입었습니다.</v>
      </c>
      <c r="F302" s="14" t="s">
        <v>536</v>
      </c>
    </row>
    <row r="303" ht="20.25" customHeight="1">
      <c r="A303" s="5">
        <v>369.0</v>
      </c>
      <c r="B303" s="6">
        <v>251224.0</v>
      </c>
      <c r="C303" s="4"/>
      <c r="D303" s="13" t="s">
        <v>8</v>
      </c>
      <c r="E303" s="8" t="str">
        <f>IFERROR(__xludf.DUMMYFUNCTION("IF(
  LEN(TRIM(D303))=0,
  ""왼쪽에 영어 문장을 입력하세요"",
  GOOGLETRANSLATE(D303,""en"",""ko"")
)"),"초기에 문제를 해결하세요")</f>
        <v>초기에 문제를 해결하세요</v>
      </c>
      <c r="F303" s="14" t="s">
        <v>537</v>
      </c>
    </row>
    <row r="304" ht="20.25" customHeight="1">
      <c r="A304" s="5">
        <v>370.0</v>
      </c>
      <c r="B304" s="6">
        <v>251224.0</v>
      </c>
      <c r="C304" s="4"/>
      <c r="D304" s="13" t="s">
        <v>538</v>
      </c>
      <c r="E304" s="8" t="str">
        <f>IFERROR(__xludf.DUMMYFUNCTION("IF(
  LEN(TRIM(D304))=0,
  ""왼쪽에 영어 문장을 입력하세요"",
  GOOGLETRANSLATE(D304,""en"",""ko"")
)"),"나쁜 습관이 생기기 시작하는 것을 발견하면, 그것이 뿌리 깊게 박히지 않도록 초기에 바로잡도록 노력하세요.")</f>
        <v>나쁜 습관이 생기기 시작하는 것을 발견하면, 그것이 뿌리 깊게 박히지 않도록 초기에 바로잡도록 노력하세요.</v>
      </c>
      <c r="F304" s="14" t="s">
        <v>539</v>
      </c>
    </row>
    <row r="305" ht="20.25" customHeight="1">
      <c r="A305" s="5">
        <v>371.0</v>
      </c>
      <c r="B305" s="6">
        <v>251224.0</v>
      </c>
      <c r="C305" s="4"/>
      <c r="D305" s="13" t="s">
        <v>540</v>
      </c>
      <c r="E305" s="8" t="str">
        <f>IFERROR(__xludf.DUMMYFUNCTION("IF(
  LEN(TRIM(D305))=0,
  ""왼쪽에 영어 문장을 입력하세요"",
  GOOGLETRANSLATE(D305,""en"",""ko"")
)"),"숫자를 계산해 보세요")</f>
        <v>숫자를 계산해 보세요</v>
      </c>
      <c r="F305" s="14" t="s">
        <v>541</v>
      </c>
    </row>
    <row r="306" ht="20.25" customHeight="1">
      <c r="A306" s="5">
        <v>372.0</v>
      </c>
      <c r="B306" s="6">
        <v>251224.0</v>
      </c>
      <c r="C306" s="4"/>
      <c r="D306" s="13" t="s">
        <v>542</v>
      </c>
      <c r="E306" s="8" t="str">
        <f>IFERROR(__xludf.DUMMYFUNCTION("IF(
  LEN(TRIM(D306))=0,
  ""왼쪽에 영어 문장을 입력하세요"",
  GOOGLETRANSLATE(D306,""en"",""ko"")
)"),"비용이 많이 들 것 같아요. 아직 계산은 안 해봤어요.")</f>
        <v>비용이 많이 들 것 같아요. 아직 계산은 안 해봤어요.</v>
      </c>
      <c r="F306" s="14" t="s">
        <v>543</v>
      </c>
    </row>
    <row r="307" ht="20.25" customHeight="1">
      <c r="A307" s="5">
        <v>373.0</v>
      </c>
      <c r="B307" s="6">
        <v>251224.0</v>
      </c>
      <c r="C307" s="4"/>
      <c r="D307" s="13" t="s">
        <v>544</v>
      </c>
      <c r="E307" s="8" t="str">
        <f>IFERROR(__xludf.DUMMYFUNCTION("IF(
  LEN(TRIM(D307))=0,
  ""왼쪽에 영어 문장을 입력하세요"",
  GOOGLETRANSLATE(D307,""en"",""ko"")
)"),"뇌졸중")</f>
        <v>뇌졸중</v>
      </c>
      <c r="F307" s="14" t="s">
        <v>545</v>
      </c>
    </row>
    <row r="308" ht="20.25" customHeight="1">
      <c r="A308" s="5">
        <v>374.0</v>
      </c>
      <c r="B308" s="6">
        <v>251224.0</v>
      </c>
      <c r="C308" s="4"/>
      <c r="D308" s="13" t="s">
        <v>546</v>
      </c>
      <c r="E308" s="8" t="str">
        <f>IFERROR(__xludf.DUMMYFUNCTION("IF(
  LEN(TRIM(D308))=0,
  ""왼쪽에 영어 문장을 입력하세요"",
  GOOGLETRANSLATE(D308,""en"",""ko"")
)"),"긍정적인 면")</f>
        <v>긍정적인 면</v>
      </c>
      <c r="F308" s="14" t="s">
        <v>547</v>
      </c>
    </row>
    <row r="309" ht="20.25" customHeight="1">
      <c r="A309" s="5">
        <v>375.0</v>
      </c>
      <c r="B309" s="6">
        <v>251224.0</v>
      </c>
      <c r="C309" s="4"/>
      <c r="D309" s="13" t="s">
        <v>548</v>
      </c>
      <c r="E309" s="8" t="str">
        <f>IFERROR(__xludf.DUMMYFUNCTION("IF(
  LEN(TRIM(D309))=0,
  ""왼쪽에 영어 문장을 입력하세요"",
  GOOGLETRANSLATE(D309,""en"",""ko"")
)"),"얼룩")</f>
        <v>얼룩</v>
      </c>
      <c r="F309" s="14" t="s">
        <v>549</v>
      </c>
    </row>
    <row r="310" ht="20.25" customHeight="1">
      <c r="A310" s="5">
        <v>376.0</v>
      </c>
      <c r="B310" s="6">
        <v>251224.0</v>
      </c>
      <c r="C310" s="4"/>
      <c r="D310" s="13" t="s">
        <v>550</v>
      </c>
      <c r="E310" s="8" t="str">
        <f>IFERROR(__xludf.DUMMYFUNCTION("IF(
  LEN(TRIM(D310))=0,
  ""왼쪽에 영어 문장을 입력하세요"",
  GOOGLETRANSLATE(D310,""en"",""ko"")
)"),"오래도록 남는 오점")</f>
        <v>오래도록 남는 오점</v>
      </c>
      <c r="F310" s="14" t="s">
        <v>551</v>
      </c>
    </row>
    <row r="311" ht="20.25" customHeight="1">
      <c r="A311" s="5">
        <v>377.0</v>
      </c>
      <c r="B311" s="6">
        <v>251224.0</v>
      </c>
      <c r="C311" s="4"/>
      <c r="D311" s="13" t="s">
        <v>552</v>
      </c>
      <c r="E311" s="8" t="str">
        <f>IFERROR(__xludf.DUMMYFUNCTION("IF(
  LEN(TRIM(D311))=0,
  ""왼쪽에 영어 문장을 입력하세요"",
  GOOGLETRANSLATE(D311,""en"",""ko"")
)"),"대통령직에 오른 지 얼마 안 된")</f>
        <v>대통령직에 오른 지 얼마 안 된</v>
      </c>
      <c r="F311" s="14" t="s">
        <v>553</v>
      </c>
    </row>
    <row r="312" ht="20.25" customHeight="1">
      <c r="A312" s="5">
        <v>378.0</v>
      </c>
      <c r="B312" s="6">
        <v>251224.0</v>
      </c>
      <c r="C312" s="4"/>
      <c r="D312" s="13" t="s">
        <v>554</v>
      </c>
      <c r="E312" s="8" t="str">
        <f>IFERROR(__xludf.DUMMYFUNCTION("IF(
  LEN(TRIM(D312))=0,
  ""왼쪽에 영어 문장을 입력하세요"",
  GOOGLETRANSLATE(D312,""en"",""ko"")
)"),"늪")</f>
        <v>늪</v>
      </c>
      <c r="F312" s="14" t="s">
        <v>555</v>
      </c>
    </row>
    <row r="313" ht="20.25" customHeight="1">
      <c r="A313" s="5">
        <v>379.0</v>
      </c>
      <c r="B313" s="6">
        <v>251224.0</v>
      </c>
      <c r="C313" s="4"/>
      <c r="D313" s="13" t="s">
        <v>556</v>
      </c>
      <c r="E313" s="8" t="str">
        <f>IFERROR(__xludf.DUMMYFUNCTION("IF(
  LEN(TRIM(D313))=0,
  ""왼쪽에 영어 문장을 입력하세요"",
  GOOGLETRANSLATE(D313,""en"",""ko"")
)"),"얇은")</f>
        <v>얇은</v>
      </c>
      <c r="F313" s="14" t="s">
        <v>557</v>
      </c>
    </row>
    <row r="314" ht="20.25" customHeight="1">
      <c r="A314" s="5">
        <v>380.0</v>
      </c>
      <c r="B314" s="6">
        <v>251224.0</v>
      </c>
      <c r="C314" s="4"/>
      <c r="D314" s="13" t="s">
        <v>558</v>
      </c>
      <c r="E314" s="8" t="str">
        <f>IFERROR(__xludf.DUMMYFUNCTION("IF(
  LEN(TRIM(D314))=0,
  ""왼쪽에 영어 문장을 입력하세요"",
  GOOGLETRANSLATE(D314,""en"",""ko"")
)"),"약화시키다")</f>
        <v>약화시키다</v>
      </c>
      <c r="F314" s="14" t="s">
        <v>559</v>
      </c>
    </row>
    <row r="315" ht="20.25" customHeight="1">
      <c r="A315" s="5">
        <v>381.0</v>
      </c>
      <c r="B315" s="6">
        <v>251224.0</v>
      </c>
      <c r="C315" s="4"/>
      <c r="D315" s="13" t="s">
        <v>560</v>
      </c>
      <c r="E315" s="8" t="str">
        <f>IFERROR(__xludf.DUMMYFUNCTION("IF(
  LEN(TRIM(D315))=0,
  ""왼쪽에 영어 문장을 입력하세요"",
  GOOGLETRANSLATE(D315,""en"",""ko"")
)"),"만장일치")</f>
        <v>만장일치</v>
      </c>
      <c r="F315" s="14" t="s">
        <v>561</v>
      </c>
    </row>
    <row r="316" ht="20.25" customHeight="1">
      <c r="A316" s="5">
        <v>382.0</v>
      </c>
      <c r="B316" s="6">
        <v>251224.0</v>
      </c>
      <c r="C316" s="4"/>
      <c r="D316" s="13" t="s">
        <v>562</v>
      </c>
      <c r="E316" s="8" t="str">
        <f>IFERROR(__xludf.DUMMYFUNCTION("IF(
  LEN(TRIM(D316))=0,
  ""왼쪽에 영어 문장을 입력하세요"",
  GOOGLETRANSLATE(D316,""en"",""ko"")
)"),"충동")</f>
        <v>충동</v>
      </c>
      <c r="F316" s="14" t="s">
        <v>563</v>
      </c>
    </row>
    <row r="317" ht="20.25" customHeight="1">
      <c r="A317" s="5">
        <v>383.0</v>
      </c>
      <c r="B317" s="6">
        <v>251224.0</v>
      </c>
      <c r="C317" s="4"/>
      <c r="D317" s="13" t="s">
        <v>564</v>
      </c>
      <c r="E317" s="8" t="str">
        <f>IFERROR(__xludf.DUMMYFUNCTION("IF(
  LEN(TRIM(D317))=0,
  ""왼쪽에 영어 문장을 입력하세요"",
  GOOGLETRANSLATE(D317,""en"",""ko"")
)"),"호루라기를 불어라 ~")</f>
        <v>호루라기를 불어라 ~</v>
      </c>
      <c r="F317" s="14" t="s">
        <v>565</v>
      </c>
    </row>
    <row r="318" ht="20.25" customHeight="1">
      <c r="A318" s="5">
        <v>384.0</v>
      </c>
      <c r="B318" s="6">
        <v>251224.0</v>
      </c>
      <c r="C318" s="4"/>
      <c r="D318" s="13" t="s">
        <v>566</v>
      </c>
      <c r="E318" s="8" t="str">
        <f>IFERROR(__xludf.DUMMYFUNCTION("IF(
  LEN(TRIM(D318))=0,
  ""왼쪽에 영어 문장을 입력하세요"",
  GOOGLETRANSLATE(D318,""en"",""ko"")
)"),"기업은 부정직한 동료나 업무 관행을 고발하는 직원을 보호해야 합니다.")</f>
        <v>기업은 부정직한 동료나 업무 관행을 고발하는 직원을 보호해야 합니다.</v>
      </c>
      <c r="F318" s="14" t="s">
        <v>567</v>
      </c>
    </row>
    <row r="319" ht="20.25" customHeight="1">
      <c r="A319" s="5">
        <v>385.0</v>
      </c>
      <c r="B319" s="6">
        <v>251224.0</v>
      </c>
      <c r="C319" s="4"/>
      <c r="D319" s="13" t="s">
        <v>568</v>
      </c>
      <c r="E319" s="8" t="str">
        <f>IFERROR(__xludf.DUMMYFUNCTION("IF(
  LEN(TRIM(D319))=0,
  ""왼쪽에 영어 문장을 입력하세요"",
  GOOGLETRANSLATE(D319,""en"",""ko"")
)"),"급한")</f>
        <v>급한</v>
      </c>
      <c r="F319" s="14" t="s">
        <v>569</v>
      </c>
    </row>
    <row r="320" ht="20.25" customHeight="1">
      <c r="A320" s="5">
        <v>386.0</v>
      </c>
      <c r="B320" s="6">
        <v>251224.0</v>
      </c>
      <c r="C320" s="4"/>
      <c r="D320" s="13" t="s">
        <v>570</v>
      </c>
      <c r="E320" s="8" t="str">
        <f>IFERROR(__xludf.DUMMYFUNCTION("IF(
  LEN(TRIM(D320))=0,
  ""왼쪽에 영어 문장을 입력하세요"",
  GOOGLETRANSLATE(D320,""en"",""ko"")
)"),"전수")</f>
        <v>전수</v>
      </c>
      <c r="F320" s="14" t="s">
        <v>561</v>
      </c>
    </row>
    <row r="321" ht="20.25" customHeight="1">
      <c r="A321" s="5">
        <v>387.0</v>
      </c>
      <c r="B321" s="6">
        <v>251224.0</v>
      </c>
      <c r="C321" s="4"/>
      <c r="D321" s="13" t="s">
        <v>571</v>
      </c>
      <c r="E321" s="8" t="str">
        <f>IFERROR(__xludf.DUMMYFUNCTION("IF(
  LEN(TRIM(D321))=0,
  ""왼쪽에 영어 문장을 입력하세요"",
  GOOGLETRANSLATE(D321,""en"",""ko"")
)"),"순응")</f>
        <v>순응</v>
      </c>
      <c r="F321" s="14" t="s">
        <v>572</v>
      </c>
    </row>
    <row r="322" ht="20.25" customHeight="1">
      <c r="A322" s="5">
        <v>388.0</v>
      </c>
      <c r="B322" s="6">
        <v>251224.0</v>
      </c>
      <c r="C322" s="4"/>
      <c r="D322" s="13" t="s">
        <v>573</v>
      </c>
      <c r="E322" s="8" t="str">
        <f>IFERROR(__xludf.DUMMYFUNCTION("IF(
  LEN(TRIM(D322))=0,
  ""왼쪽에 영어 문장을 입력하세요"",
  GOOGLETRANSLATE(D322,""en"",""ko"")
)"),"반발")</f>
        <v>반발</v>
      </c>
      <c r="F322" s="14" t="s">
        <v>574</v>
      </c>
    </row>
    <row r="323" ht="20.25" customHeight="1">
      <c r="A323" s="5">
        <v>389.0</v>
      </c>
      <c r="B323" s="6">
        <v>251224.0</v>
      </c>
      <c r="C323" s="4"/>
      <c r="D323" s="13" t="s">
        <v>575</v>
      </c>
      <c r="E323" s="8" t="str">
        <f>IFERROR(__xludf.DUMMYFUNCTION("IF(
  LEN(TRIM(D323))=0,
  ""왼쪽에 영어 문장을 입력하세요"",
  GOOGLETRANSLATE(D323,""en"",""ko"")
)"),"휩쓸어 넣다")</f>
        <v>휩쓸어 넣다</v>
      </c>
      <c r="F323" s="14" t="s">
        <v>576</v>
      </c>
    </row>
    <row r="324" ht="20.25" customHeight="1">
      <c r="A324" s="5">
        <v>390.0</v>
      </c>
      <c r="B324" s="6">
        <v>251224.0</v>
      </c>
      <c r="C324" s="4"/>
      <c r="D324" s="13" t="s">
        <v>577</v>
      </c>
      <c r="E324" s="8" t="str">
        <f>IFERROR(__xludf.DUMMYFUNCTION("IF(
  LEN(TRIM(D324))=0,
  ""왼쪽에 영어 문장을 입력하세요"",
  GOOGLETRANSLATE(D324,""en"",""ko"")
)"),"집돌이")</f>
        <v>집돌이</v>
      </c>
      <c r="F324" s="14" t="s">
        <v>578</v>
      </c>
    </row>
    <row r="325" ht="20.25" customHeight="1">
      <c r="A325" s="5">
        <v>391.0</v>
      </c>
      <c r="B325" s="6">
        <v>251224.0</v>
      </c>
      <c r="C325" s="4"/>
      <c r="D325" s="13" t="s">
        <v>579</v>
      </c>
      <c r="E325" s="8" t="str">
        <f>IFERROR(__xludf.DUMMYFUNCTION("IF(
  LEN(TRIM(D325))=0,
  ""왼쪽에 영어 문장을 입력하세요"",
  GOOGLETRANSLATE(D325,""en"",""ko"")
)"),"음란한")</f>
        <v>음란한</v>
      </c>
      <c r="F325" s="14" t="s">
        <v>580</v>
      </c>
    </row>
    <row r="326" ht="20.25" customHeight="1">
      <c r="A326" s="5">
        <v>392.0</v>
      </c>
      <c r="B326" s="6">
        <v>251224.0</v>
      </c>
      <c r="C326" s="4"/>
      <c r="D326" s="13" t="s">
        <v>581</v>
      </c>
      <c r="E326" s="8" t="str">
        <f>IFERROR(__xludf.DUMMYFUNCTION("IF(
  LEN(TRIM(D326))=0,
  ""왼쪽에 영어 문장을 입력하세요"",
  GOOGLETRANSLATE(D326,""en"",""ko"")
)"),"음란 행위")</f>
        <v>음란 행위</v>
      </c>
      <c r="F326" s="14" t="s">
        <v>582</v>
      </c>
    </row>
    <row r="327" ht="20.25" customHeight="1">
      <c r="A327" s="5">
        <v>393.0</v>
      </c>
      <c r="B327" s="6">
        <v>251224.0</v>
      </c>
      <c r="C327" s="4"/>
      <c r="D327" s="13" t="s">
        <v>583</v>
      </c>
      <c r="E327" s="8" t="str">
        <f>IFERROR(__xludf.DUMMYFUNCTION("IF(
  LEN(TRIM(D327))=0,
  ""왼쪽에 영어 문장을 입력하세요"",
  GOOGLETRANSLATE(D327,""en"",""ko"")
)"),"운이 좋게도")</f>
        <v>운이 좋게도</v>
      </c>
      <c r="F327" s="14" t="s">
        <v>584</v>
      </c>
    </row>
    <row r="328" ht="20.25" customHeight="1">
      <c r="A328" s="5">
        <v>394.0</v>
      </c>
      <c r="B328" s="6">
        <v>251224.0</v>
      </c>
      <c r="C328" s="4"/>
      <c r="D328" s="13" t="s">
        <v>585</v>
      </c>
      <c r="E328" s="8" t="str">
        <f>IFERROR(__xludf.DUMMYFUNCTION("IF(
  LEN(TRIM(D328))=0,
  ""왼쪽에 영어 문장을 입력하세요"",
  GOOGLETRANSLATE(D328,""en"",""ko"")
)"),"원점으로 돌아가자")</f>
        <v>원점으로 돌아가자</v>
      </c>
      <c r="F328" s="14" t="s">
        <v>586</v>
      </c>
    </row>
    <row r="329" ht="20.25" customHeight="1">
      <c r="A329" s="5">
        <v>395.0</v>
      </c>
      <c r="B329" s="6">
        <v>251224.0</v>
      </c>
      <c r="C329" s="4"/>
      <c r="D329" s="13" t="s">
        <v>587</v>
      </c>
      <c r="E329" s="8" t="str">
        <f>IFERROR(__xludf.DUMMYFUNCTION("IF(
  LEN(TRIM(D329))=0,
  ""왼쪽에 영어 문장을 입력하세요"",
  GOOGLETRANSLATE(D329,""en"",""ko"")
)"),"발효 과정")</f>
        <v>발효 과정</v>
      </c>
      <c r="F329" s="14" t="s">
        <v>588</v>
      </c>
    </row>
    <row r="330" ht="20.25" customHeight="1">
      <c r="A330" s="5">
        <v>396.0</v>
      </c>
      <c r="B330" s="6">
        <v>251224.0</v>
      </c>
      <c r="C330" s="4"/>
      <c r="D330" s="13" t="s">
        <v>589</v>
      </c>
      <c r="E330" s="8" t="str">
        <f>IFERROR(__xludf.DUMMYFUNCTION("IF(
  LEN(TRIM(D330))=0,
  ""왼쪽에 영어 문장을 입력하세요"",
  GOOGLETRANSLATE(D330,""en"",""ko"")
)"),"절제")</f>
        <v>절제</v>
      </c>
      <c r="F330" s="14" t="s">
        <v>590</v>
      </c>
    </row>
    <row r="331" ht="20.25" customHeight="1">
      <c r="A331" s="5">
        <v>397.0</v>
      </c>
      <c r="B331" s="6">
        <v>251224.0</v>
      </c>
      <c r="C331" s="4"/>
      <c r="D331" s="13" t="s">
        <v>591</v>
      </c>
      <c r="E331" s="8" t="str">
        <f>IFERROR(__xludf.DUMMYFUNCTION("IF(
  LEN(TRIM(D331))=0,
  ""왼쪽에 영어 문장을 입력하세요"",
  GOOGLETRANSLATE(D331,""en"",""ko"")
)"),"시집 보내다")</f>
        <v>시집 보내다</v>
      </c>
      <c r="F331" s="14" t="s">
        <v>592</v>
      </c>
    </row>
    <row r="332" ht="20.25" customHeight="1">
      <c r="A332" s="5">
        <v>398.0</v>
      </c>
      <c r="B332" s="6">
        <v>251224.0</v>
      </c>
      <c r="C332" s="4"/>
      <c r="D332" s="13" t="s">
        <v>593</v>
      </c>
      <c r="E332" s="8" t="str">
        <f>IFERROR(__xludf.DUMMYFUNCTION("IF(
  LEN(TRIM(D332))=0,
  ""왼쪽에 영어 문장을 입력하세요"",
  GOOGLETRANSLATE(D332,""en"",""ko"")
)"),"직원 이직률")</f>
        <v>직원 이직률</v>
      </c>
      <c r="F332" s="14" t="s">
        <v>594</v>
      </c>
    </row>
    <row r="333" ht="20.25" customHeight="1">
      <c r="A333" s="5">
        <v>399.0</v>
      </c>
      <c r="B333" s="6">
        <v>251224.0</v>
      </c>
      <c r="C333" s="4"/>
      <c r="D333" s="13" t="s">
        <v>595</v>
      </c>
      <c r="E333" s="8" t="str">
        <f>IFERROR(__xludf.DUMMYFUNCTION("IF(
  LEN(TRIM(D333))=0,
  ""왼쪽에 영어 문장을 입력하세요"",
  GOOGLETRANSLATE(D333,""en"",""ko"")
)"),"직원 퇴사율과 입사율 비교")</f>
        <v>직원 퇴사율과 입사율 비교</v>
      </c>
      <c r="F333" s="14" t="s">
        <v>596</v>
      </c>
    </row>
    <row r="334" ht="20.25" customHeight="1">
      <c r="A334" s="5">
        <v>400.0</v>
      </c>
      <c r="B334" s="6">
        <v>251224.0</v>
      </c>
      <c r="C334" s="4"/>
      <c r="D334" s="13" t="s">
        <v>597</v>
      </c>
      <c r="E334" s="8" t="str">
        <f>IFERROR(__xludf.DUMMYFUNCTION("IF(
  LEN(TRIM(D334))=0,
  ""왼쪽에 영어 문장을 입력하세요"",
  GOOGLETRANSLATE(D334,""en"",""ko"")
)"),"~의 관점에서")</f>
        <v>~의 관점에서</v>
      </c>
      <c r="F334" s="14" t="s">
        <v>598</v>
      </c>
    </row>
    <row r="335" ht="20.25" customHeight="1">
      <c r="A335" s="5">
        <v>401.0</v>
      </c>
      <c r="B335" s="6">
        <v>251224.0</v>
      </c>
      <c r="C335" s="4"/>
      <c r="D335" s="13" t="s">
        <v>599</v>
      </c>
      <c r="E335" s="8" t="str">
        <f>IFERROR(__xludf.DUMMYFUNCTION("IF(
  LEN(TRIM(D335))=0,
  ""왼쪽에 영어 문장을 입력하세요"",
  GOOGLETRANSLATE(D335,""en"",""ko"")
)"),"수익 측면에서 보면, 잘하고 있습니다.")</f>
        <v>수익 측면에서 보면, 잘하고 있습니다.</v>
      </c>
      <c r="F335" s="14" t="s">
        <v>600</v>
      </c>
    </row>
    <row r="336" ht="20.25" customHeight="1">
      <c r="A336" s="5">
        <v>402.0</v>
      </c>
      <c r="B336" s="6">
        <v>251224.0</v>
      </c>
      <c r="C336" s="4"/>
      <c r="D336" s="13" t="s">
        <v>601</v>
      </c>
      <c r="E336" s="8" t="str">
        <f>IFERROR(__xludf.DUMMYFUNCTION("IF(
  LEN(TRIM(D336))=0,
  ""왼쪽에 영어 문장을 입력하세요"",
  GOOGLETRANSLATE(D336,""en"",""ko"")
)"),"혹시 ~")</f>
        <v>혹시 ~</v>
      </c>
      <c r="F336" s="14" t="s">
        <v>602</v>
      </c>
    </row>
    <row r="337" ht="20.25" customHeight="1">
      <c r="A337" s="5">
        <v>403.0</v>
      </c>
      <c r="B337" s="6">
        <v>251224.0</v>
      </c>
      <c r="C337" s="4"/>
      <c r="D337" s="13" t="s">
        <v>603</v>
      </c>
      <c r="E337" s="8" t="str">
        <f>IFERROR(__xludf.DUMMYFUNCTION("IF(
  LEN(TRIM(D337))=0,
  ""왼쪽에 영어 문장을 입력하세요"",
  GOOGLETRANSLATE(D337,""en"",""ko"")
)"),"혹시 피자 있으세요?")</f>
        <v>혹시 피자 있으세요?</v>
      </c>
      <c r="F337" s="14" t="s">
        <v>604</v>
      </c>
    </row>
    <row r="338" ht="20.25" customHeight="1">
      <c r="A338" s="5">
        <v>404.0</v>
      </c>
      <c r="B338" s="6">
        <v>251224.0</v>
      </c>
      <c r="C338" s="4"/>
      <c r="D338" s="13" t="s">
        <v>605</v>
      </c>
      <c r="E338" s="8" t="str">
        <f>IFERROR(__xludf.DUMMYFUNCTION("IF(
  LEN(TRIM(D338))=0,
  ""왼쪽에 영어 문장을 입력하세요"",
  GOOGLETRANSLATE(D338,""en"",""ko"")
)"),"혹시 남은 거 없으세요?")</f>
        <v>혹시 남은 거 없으세요?</v>
      </c>
      <c r="F338" s="14" t="s">
        <v>606</v>
      </c>
    </row>
    <row r="339" ht="20.25" customHeight="1">
      <c r="A339" s="5">
        <v>405.0</v>
      </c>
      <c r="B339" s="6">
        <v>251224.0</v>
      </c>
      <c r="C339" s="4"/>
      <c r="D339" s="13" t="s">
        <v>607</v>
      </c>
      <c r="E339" s="8" t="str">
        <f>IFERROR(__xludf.DUMMYFUNCTION("IF(
  LEN(TRIM(D339))=0,
  ""왼쪽에 영어 문장을 입력하세요"",
  GOOGLETRANSLATE(D339,""en"",""ko"")
)"),"혹시 그것에 대해 알고 계신가요?")</f>
        <v>혹시 그것에 대해 알고 계신가요?</v>
      </c>
      <c r="F339" s="14" t="s">
        <v>608</v>
      </c>
    </row>
    <row r="340" ht="20.25" customHeight="1">
      <c r="A340" s="5">
        <v>406.0</v>
      </c>
      <c r="B340" s="6">
        <v>251224.0</v>
      </c>
      <c r="C340" s="4"/>
      <c r="D340" s="13" t="s">
        <v>609</v>
      </c>
      <c r="E340" s="8" t="str">
        <f>IFERROR(__xludf.DUMMYFUNCTION("IF(
  LEN(TRIM(D340))=0,
  ""왼쪽에 영어 문장을 입력하세요"",
  GOOGLETRANSLATE(D340,""en"",""ko"")
)"),"만족할 줄 모르는")</f>
        <v>만족할 줄 모르는</v>
      </c>
      <c r="F340" s="14" t="s">
        <v>610</v>
      </c>
    </row>
    <row r="341" ht="20.25" customHeight="1">
      <c r="A341" s="5">
        <v>407.0</v>
      </c>
      <c r="B341" s="6">
        <v>251224.0</v>
      </c>
      <c r="C341" s="4"/>
      <c r="D341" s="13" t="s">
        <v>611</v>
      </c>
      <c r="E341" s="8" t="str">
        <f>IFERROR(__xludf.DUMMYFUNCTION("IF(
  LEN(TRIM(D341))=0,
  ""왼쪽에 영어 문장을 입력하세요"",
  GOOGLETRANSLATE(D341,""en"",""ko"")
)"),"수족")</f>
        <v>수족</v>
      </c>
      <c r="F341" s="14" t="s">
        <v>612</v>
      </c>
    </row>
    <row r="342" ht="20.25" customHeight="1">
      <c r="A342" s="5">
        <v>408.0</v>
      </c>
      <c r="B342" s="6">
        <v>251224.0</v>
      </c>
      <c r="C342" s="4"/>
      <c r="D342" s="13" t="s">
        <v>613</v>
      </c>
      <c r="E342" s="8" t="str">
        <f>IFERROR(__xludf.DUMMYFUNCTION("IF(
  LEN(TRIM(D342))=0,
  ""왼쪽에 영어 문장을 입력하세요"",
  GOOGLETRANSLATE(D342,""en"",""ko"")
)"),"비만")</f>
        <v>비만</v>
      </c>
      <c r="F342" s="14" t="s">
        <v>614</v>
      </c>
    </row>
    <row r="343" ht="20.25" customHeight="1">
      <c r="A343" s="5">
        <v>409.0</v>
      </c>
      <c r="B343" s="6">
        <v>251224.0</v>
      </c>
      <c r="C343" s="4"/>
      <c r="D343" s="13" t="s">
        <v>615</v>
      </c>
      <c r="E343" s="8" t="str">
        <f>IFERROR(__xludf.DUMMYFUNCTION("IF(
  LEN(TRIM(D343))=0,
  ""왼쪽에 영어 문장을 입력하세요"",
  GOOGLETRANSLATE(D343,""en"",""ko"")
)"),"복잡")</f>
        <v>복잡</v>
      </c>
      <c r="F343" s="14" t="s">
        <v>616</v>
      </c>
    </row>
    <row r="344" ht="20.25" customHeight="1">
      <c r="A344" s="5">
        <v>410.0</v>
      </c>
      <c r="B344" s="6">
        <v>251224.0</v>
      </c>
      <c r="C344" s="4"/>
      <c r="D344" s="13" t="s">
        <v>617</v>
      </c>
      <c r="E344" s="8" t="str">
        <f>IFERROR(__xludf.DUMMYFUNCTION("IF(
  LEN(TRIM(D344))=0,
  ""왼쪽에 영어 문장을 입력하세요"",
  GOOGLETRANSLATE(D344,""en"",""ko"")
)"),"고뇌")</f>
        <v>고뇌</v>
      </c>
      <c r="F344" s="14" t="s">
        <v>618</v>
      </c>
    </row>
    <row r="345" ht="20.25" customHeight="1">
      <c r="A345" s="5">
        <v>411.0</v>
      </c>
      <c r="B345" s="6">
        <v>251224.0</v>
      </c>
      <c r="C345" s="4"/>
      <c r="D345" s="13" t="s">
        <v>619</v>
      </c>
      <c r="E345" s="8" t="str">
        <f>IFERROR(__xludf.DUMMYFUNCTION("IF(
  LEN(TRIM(D345))=0,
  ""왼쪽에 영어 문장을 입력하세요"",
  GOOGLETRANSLATE(D345,""en"",""ko"")
)"),"배")</f>
        <v>배</v>
      </c>
      <c r="F345" s="14" t="s">
        <v>620</v>
      </c>
    </row>
    <row r="346" ht="20.25" customHeight="1">
      <c r="A346" s="5">
        <v>412.0</v>
      </c>
      <c r="B346" s="6">
        <v>251224.0</v>
      </c>
      <c r="C346" s="4"/>
      <c r="D346" s="13" t="s">
        <v>621</v>
      </c>
      <c r="E346" s="8" t="str">
        <f>IFERROR(__xludf.DUMMYFUNCTION("IF(
  LEN(TRIM(D346))=0,
  ""왼쪽에 영어 문장을 입력하세요"",
  GOOGLETRANSLATE(D346,""en"",""ko"")
)"),"포켓북")</f>
        <v>포켓북</v>
      </c>
      <c r="F346" s="14" t="s">
        <v>622</v>
      </c>
    </row>
    <row r="347" ht="20.25" customHeight="1">
      <c r="A347" s="5">
        <v>413.0</v>
      </c>
      <c r="B347" s="6">
        <v>251224.0</v>
      </c>
      <c r="C347" s="4"/>
      <c r="D347" s="13" t="s">
        <v>623</v>
      </c>
      <c r="E347" s="8" t="str">
        <f>IFERROR(__xludf.DUMMYFUNCTION("IF(
  LEN(TRIM(D347))=0,
  ""왼쪽에 영어 문장을 입력하세요"",
  GOOGLETRANSLATE(D347,""en"",""ko"")
)"),"강제력")</f>
        <v>강제력</v>
      </c>
      <c r="F347" s="14" t="s">
        <v>624</v>
      </c>
    </row>
    <row r="348" ht="20.25" customHeight="1">
      <c r="A348" s="5">
        <v>414.0</v>
      </c>
      <c r="B348" s="6">
        <v>251224.0</v>
      </c>
      <c r="C348" s="4"/>
      <c r="D348" s="13" t="s">
        <v>625</v>
      </c>
      <c r="E348" s="8" t="str">
        <f>IFERROR(__xludf.DUMMYFUNCTION("IF(
  LEN(TRIM(D348))=0,
  ""왼쪽에 영어 문장을 입력하세요"",
  GOOGLETRANSLATE(D348,""en"",""ko"")
)"),"통제광")</f>
        <v>통제광</v>
      </c>
      <c r="F348" s="14" t="s">
        <v>626</v>
      </c>
    </row>
    <row r="349" ht="20.25" customHeight="1">
      <c r="A349" s="5">
        <v>415.0</v>
      </c>
      <c r="B349" s="6">
        <v>251224.0</v>
      </c>
      <c r="C349" s="4"/>
      <c r="D349" s="13" t="s">
        <v>627</v>
      </c>
      <c r="E349" s="8" t="str">
        <f>IFERROR(__xludf.DUMMYFUNCTION("IF(
  LEN(TRIM(D349))=0,
  ""왼쪽에 영어 문장을 입력하세요"",
  GOOGLETRANSLATE(D349,""en"",""ko"")
)"),"위험 신호")</f>
        <v>위험 신호</v>
      </c>
      <c r="F349" s="14" t="s">
        <v>628</v>
      </c>
    </row>
    <row r="350" ht="20.25" customHeight="1">
      <c r="A350" s="5">
        <v>416.0</v>
      </c>
      <c r="B350" s="6">
        <v>251224.0</v>
      </c>
      <c r="C350" s="4"/>
      <c r="D350" s="13" t="s">
        <v>629</v>
      </c>
      <c r="E350" s="8" t="str">
        <f>IFERROR(__xludf.DUMMYFUNCTION("IF(
  LEN(TRIM(D350))=0,
  ""왼쪽에 영어 문장을 입력하세요"",
  GOOGLETRANSLATE(D350,""en"",""ko"")
)"),"내가 가장 필요로 하지 않는 것")</f>
        <v>내가 가장 필요로 하지 않는 것</v>
      </c>
      <c r="F350" s="14" t="s">
        <v>630</v>
      </c>
    </row>
    <row r="351" ht="20.25" customHeight="1">
      <c r="A351" s="5">
        <v>417.0</v>
      </c>
      <c r="B351" s="6">
        <v>251224.0</v>
      </c>
      <c r="C351" s="4"/>
      <c r="D351" s="13" t="s">
        <v>631</v>
      </c>
      <c r="E351" s="8" t="str">
        <f>IFERROR(__xludf.DUMMYFUNCTION("IF(
  LEN(TRIM(D351))=0,
  ""왼쪽에 영어 문장을 입력하세요"",
  GOOGLETRANSLATE(D351,""en"",""ko"")
)"),"소동을 일으키다")</f>
        <v>소동을 일으키다</v>
      </c>
      <c r="F351" s="14" t="s">
        <v>632</v>
      </c>
    </row>
    <row r="352" ht="20.25" customHeight="1">
      <c r="A352" s="5">
        <v>418.0</v>
      </c>
      <c r="B352" s="6">
        <v>251224.0</v>
      </c>
      <c r="C352" s="4"/>
      <c r="D352" s="13" t="s">
        <v>633</v>
      </c>
      <c r="E352" s="8" t="str">
        <f>IFERROR(__xludf.DUMMYFUNCTION("IF(
  LEN(TRIM(D352))=0,
  ""왼쪽에 영어 문장을 입력하세요"",
  GOOGLETRANSLATE(D352,""en"",""ko"")
)"),"애도를 표합니다")</f>
        <v>애도를 표합니다</v>
      </c>
      <c r="F352" s="14" t="s">
        <v>634</v>
      </c>
    </row>
    <row r="353" ht="20.25" customHeight="1">
      <c r="A353" s="5">
        <v>419.0</v>
      </c>
      <c r="B353" s="6">
        <v>251224.0</v>
      </c>
      <c r="C353" s="4"/>
      <c r="D353" s="13" t="s">
        <v>635</v>
      </c>
      <c r="E353" s="8" t="str">
        <f>IFERROR(__xludf.DUMMYFUNCTION("IF(
  LEN(TRIM(D353))=0,
  ""왼쪽에 영어 문장을 입력하세요"",
  GOOGLETRANSLATE(D353,""en"",""ko"")
)"),"조금만 써도 큰 효과를 볼 수 있다")</f>
        <v>조금만 써도 큰 효과를 볼 수 있다</v>
      </c>
      <c r="F353" s="14" t="s">
        <v>636</v>
      </c>
    </row>
    <row r="354" ht="20.25" customHeight="1">
      <c r="A354" s="5">
        <v>420.0</v>
      </c>
      <c r="B354" s="6">
        <v>251224.0</v>
      </c>
      <c r="C354" s="4"/>
      <c r="D354" s="13" t="s">
        <v>637</v>
      </c>
      <c r="E354" s="8" t="str">
        <f>IFERROR(__xludf.DUMMYFUNCTION("IF(
  LEN(TRIM(D354))=0,
  ""왼쪽에 영어 문장을 입력하세요"",
  GOOGLETRANSLATE(D354,""en"",""ko"")
)"),"빗발")</f>
        <v>빗발</v>
      </c>
      <c r="F354" s="14" t="s">
        <v>638</v>
      </c>
    </row>
    <row r="355" ht="20.25" customHeight="1">
      <c r="A355" s="5">
        <v>421.0</v>
      </c>
      <c r="B355" s="6">
        <v>251224.0</v>
      </c>
      <c r="C355" s="4"/>
      <c r="D355" s="13" t="s">
        <v>639</v>
      </c>
      <c r="E355" s="8" t="str">
        <f>IFERROR(__xludf.DUMMYFUNCTION("IF(
  LEN(TRIM(D355))=0,
  ""왼쪽에 영어 문장을 입력하세요"",
  GOOGLETRANSLATE(D355,""en"",""ko"")
)"),"이탈리아 출신인")</f>
        <v>이탈리아 출신인</v>
      </c>
      <c r="F355" s="14" t="s">
        <v>640</v>
      </c>
    </row>
    <row r="356" ht="20.25" customHeight="1">
      <c r="A356" s="5">
        <v>422.0</v>
      </c>
      <c r="B356" s="6">
        <v>251224.0</v>
      </c>
      <c r="C356" s="4"/>
      <c r="D356" s="13" t="s">
        <v>641</v>
      </c>
      <c r="E356" s="8" t="str">
        <f>IFERROR(__xludf.DUMMYFUNCTION("IF(
  LEN(TRIM(D356))=0,
  ""왼쪽에 영어 문장을 입력하세요"",
  GOOGLETRANSLATE(D356,""en"",""ko"")
)"),"모자를 쓰다")</f>
        <v>모자를 쓰다</v>
      </c>
      <c r="F356" s="14" t="s">
        <v>642</v>
      </c>
    </row>
    <row r="357" ht="20.25" customHeight="1">
      <c r="A357" s="5">
        <v>423.0</v>
      </c>
      <c r="B357" s="6">
        <v>251224.0</v>
      </c>
      <c r="C357" s="4"/>
      <c r="D357" s="13" t="s">
        <v>643</v>
      </c>
      <c r="E357" s="8" t="str">
        <f>IFERROR(__xludf.DUMMYFUNCTION("IF(
  LEN(TRIM(D357))=0,
  ""왼쪽에 영어 문장을 입력하세요"",
  GOOGLETRANSLATE(D357,""en"",""ko"")
)"),"교활한")</f>
        <v>교활한</v>
      </c>
      <c r="F357" s="14" t="s">
        <v>644</v>
      </c>
    </row>
    <row r="358" ht="20.25" customHeight="1">
      <c r="A358" s="5">
        <v>424.0</v>
      </c>
      <c r="B358" s="6">
        <v>251224.0</v>
      </c>
      <c r="C358" s="4"/>
      <c r="D358" s="13" t="s">
        <v>645</v>
      </c>
      <c r="E358" s="8" t="str">
        <f>IFERROR(__xludf.DUMMYFUNCTION("IF(
  LEN(TRIM(D358))=0,
  ""왼쪽에 영어 문장을 입력하세요"",
  GOOGLETRANSLATE(D358,""en"",""ko"")
)"),"강생")</f>
        <v>강생</v>
      </c>
      <c r="F358" s="14" t="s">
        <v>646</v>
      </c>
    </row>
    <row r="359" ht="20.25" customHeight="1">
      <c r="A359" s="5">
        <v>425.0</v>
      </c>
      <c r="B359" s="6">
        <v>251224.0</v>
      </c>
      <c r="C359" s="4"/>
      <c r="D359" s="13" t="s">
        <v>647</v>
      </c>
      <c r="E359" s="8" t="str">
        <f>IFERROR(__xludf.DUMMYFUNCTION("IF(
  LEN(TRIM(D359))=0,
  ""왼쪽에 영어 문장을 입력하세요"",
  GOOGLETRANSLATE(D359,""en"",""ko"")
)"),"속임수")</f>
        <v>속임수</v>
      </c>
      <c r="F359" s="14" t="s">
        <v>648</v>
      </c>
    </row>
    <row r="360" ht="20.25" customHeight="1">
      <c r="A360" s="5">
        <v>426.0</v>
      </c>
      <c r="B360" s="6">
        <v>251224.0</v>
      </c>
      <c r="C360" s="4"/>
      <c r="D360" s="13" t="s">
        <v>649</v>
      </c>
      <c r="E360" s="8" t="str">
        <f>IFERROR(__xludf.DUMMYFUNCTION("IF(
  LEN(TRIM(D360))=0,
  ""왼쪽에 영어 문장을 입력하세요"",
  GOOGLETRANSLATE(D360,""en"",""ko"")
)"),"속임수의 화신")</f>
        <v>속임수의 화신</v>
      </c>
      <c r="F360" s="14" t="s">
        <v>650</v>
      </c>
    </row>
    <row r="361" ht="20.25" customHeight="1">
      <c r="A361" s="5">
        <v>427.0</v>
      </c>
      <c r="B361" s="6">
        <v>251224.0</v>
      </c>
      <c r="C361" s="4"/>
      <c r="D361" s="13" t="s">
        <v>651</v>
      </c>
      <c r="E361" s="8" t="str">
        <f>IFERROR(__xludf.DUMMYFUNCTION("IF(
  LEN(TRIM(D361))=0,
  ""왼쪽에 영어 문장을 입력하세요"",
  GOOGLETRANSLATE(D361,""en"",""ko"")
)"),"괴롭히다")</f>
        <v>괴롭히다</v>
      </c>
      <c r="F361" s="14" t="s">
        <v>652</v>
      </c>
    </row>
    <row r="362" ht="20.25" customHeight="1">
      <c r="A362" s="5">
        <v>428.0</v>
      </c>
      <c r="B362" s="6">
        <v>251224.0</v>
      </c>
      <c r="C362" s="4"/>
      <c r="D362" s="13" t="s">
        <v>653</v>
      </c>
      <c r="E362" s="8" t="str">
        <f>IFERROR(__xludf.DUMMYFUNCTION("IF(
  LEN(TRIM(D362))=0,
  ""왼쪽에 영어 문장을 입력하세요"",
  GOOGLETRANSLATE(D362,""en"",""ko"")
)"),"프시케")</f>
        <v>프시케</v>
      </c>
      <c r="F362" s="14" t="s">
        <v>654</v>
      </c>
    </row>
    <row r="363" ht="20.25" customHeight="1">
      <c r="A363" s="5">
        <v>429.0</v>
      </c>
      <c r="B363" s="6">
        <v>251224.0</v>
      </c>
      <c r="C363" s="4"/>
      <c r="D363" s="13" t="s">
        <v>655</v>
      </c>
      <c r="E363" s="8" t="str">
        <f>IFERROR(__xludf.DUMMYFUNCTION("IF(
  LEN(TRIM(D363))=0,
  ""왼쪽에 영어 문장을 입력하세요"",
  GOOGLETRANSLATE(D363,""en"",""ko"")
)"),"수평을 맞추다")</f>
        <v>수평을 맞추다</v>
      </c>
      <c r="F363" s="14" t="s">
        <v>656</v>
      </c>
    </row>
    <row r="364" ht="20.25" customHeight="1">
      <c r="A364" s="5">
        <v>430.0</v>
      </c>
      <c r="B364" s="6">
        <v>251224.0</v>
      </c>
      <c r="C364" s="4"/>
      <c r="D364" s="13" t="s">
        <v>657</v>
      </c>
      <c r="E364" s="8" t="str">
        <f>IFERROR(__xludf.DUMMYFUNCTION("IF(
  LEN(TRIM(D364))=0,
  ""왼쪽에 영어 문장을 입력하세요"",
  GOOGLETRANSLATE(D364,""en"",""ko"")
)"),"붉어지다")</f>
        <v>붉어지다</v>
      </c>
      <c r="F364" s="14" t="s">
        <v>658</v>
      </c>
    </row>
    <row r="365" ht="20.25" customHeight="1">
      <c r="A365" s="5">
        <v>431.0</v>
      </c>
      <c r="B365" s="6">
        <v>251224.0</v>
      </c>
      <c r="C365" s="4"/>
      <c r="D365" s="13" t="s">
        <v>659</v>
      </c>
      <c r="E365" s="8" t="str">
        <f>IFERROR(__xludf.DUMMYFUNCTION("IF(
  LEN(TRIM(D365))=0,
  ""왼쪽에 영어 문장을 입력하세요"",
  GOOGLETRANSLATE(D365,""en"",""ko"")
)"),"무릎 통증이 다시 시작된 건가요?")</f>
        <v>무릎 통증이 다시 시작된 건가요?</v>
      </c>
      <c r="F365" s="14" t="s">
        <v>660</v>
      </c>
    </row>
    <row r="366" ht="20.25" customHeight="1">
      <c r="A366" s="5">
        <v>432.0</v>
      </c>
      <c r="B366" s="6">
        <v>251224.0</v>
      </c>
      <c r="C366" s="4"/>
      <c r="D366" s="13" t="s">
        <v>661</v>
      </c>
      <c r="E366" s="8" t="str">
        <f>IFERROR(__xludf.DUMMYFUNCTION("IF(
  LEN(TRIM(D366))=0,
  ""왼쪽에 영어 문장을 입력하세요"",
  GOOGLETRANSLATE(D366,""en"",""ko"")
)"),"편두통이 다시 심해졌나요?")</f>
        <v>편두통이 다시 심해졌나요?</v>
      </c>
      <c r="F366" s="14" t="s">
        <v>662</v>
      </c>
    </row>
    <row r="367" ht="20.25" customHeight="1">
      <c r="A367" s="5">
        <v>433.0</v>
      </c>
      <c r="B367" s="6">
        <v>251224.0</v>
      </c>
      <c r="C367" s="4"/>
      <c r="D367" s="13" t="s">
        <v>663</v>
      </c>
      <c r="E367" s="8" t="str">
        <f>IFERROR(__xludf.DUMMYFUNCTION("IF(
  LEN(TRIM(D367))=0,
  ""왼쪽에 영어 문장을 입력하세요"",
  GOOGLETRANSLATE(D367,""en"",""ko"")
)"),"어머니의 관절염이 심해지면 진통제를 드셔야 합니다.")</f>
        <v>어머니의 관절염이 심해지면 진통제를 드셔야 합니다.</v>
      </c>
      <c r="F367" s="14" t="s">
        <v>664</v>
      </c>
    </row>
    <row r="368" ht="20.25" customHeight="1">
      <c r="A368" s="5">
        <v>434.0</v>
      </c>
      <c r="B368" s="6">
        <v>251224.0</v>
      </c>
      <c r="C368" s="4"/>
      <c r="D368" s="13" t="s">
        <v>665</v>
      </c>
      <c r="E368" s="8" t="str">
        <f>IFERROR(__xludf.DUMMYFUNCTION("IF(
  LEN(TRIM(D368))=0,
  ""왼쪽에 영어 문장을 입력하세요"",
  GOOGLETRANSLATE(D368,""en"",""ko"")
)"),"충돌")</f>
        <v>충돌</v>
      </c>
      <c r="F368" s="14" t="s">
        <v>666</v>
      </c>
    </row>
    <row r="369" ht="20.25" customHeight="1">
      <c r="A369" s="5">
        <v>435.0</v>
      </c>
      <c r="B369" s="6">
        <v>251224.0</v>
      </c>
      <c r="C369" s="4"/>
      <c r="D369" s="13" t="s">
        <v>667</v>
      </c>
      <c r="E369" s="8" t="str">
        <f>IFERROR(__xludf.DUMMYFUNCTION("IF(
  LEN(TRIM(D369))=0,
  ""왼쪽에 영어 문장을 입력하세요"",
  GOOGLETRANSLATE(D369,""en"",""ko"")
)"),"나는 케빈에게 장난을 칠 거야")</f>
        <v>나는 케빈에게 장난을 칠 거야</v>
      </c>
      <c r="F369" s="14" t="s">
        <v>668</v>
      </c>
    </row>
    <row r="370" ht="20.25" customHeight="1">
      <c r="A370" s="5">
        <v>436.0</v>
      </c>
      <c r="B370" s="6">
        <v>251224.0</v>
      </c>
      <c r="C370" s="4"/>
      <c r="D370" s="13" t="s">
        <v>669</v>
      </c>
      <c r="E370" s="8" t="str">
        <f>IFERROR(__xludf.DUMMYFUNCTION("IF(
  LEN(TRIM(D370))=0,
  ""왼쪽에 영어 문장을 입력하세요"",
  GOOGLETRANSLATE(D370,""en"",""ko"")
)"),"회상하다")</f>
        <v>회상하다</v>
      </c>
      <c r="F370" s="14" t="s">
        <v>670</v>
      </c>
    </row>
    <row r="371" ht="20.25" customHeight="1">
      <c r="A371" s="5">
        <v>437.0</v>
      </c>
      <c r="B371" s="6">
        <v>251224.0</v>
      </c>
      <c r="C371" s="4"/>
      <c r="D371" s="13" t="s">
        <v>671</v>
      </c>
      <c r="E371" s="8" t="str">
        <f>IFERROR(__xludf.DUMMYFUNCTION("IF(
  LEN(TRIM(D371))=0,
  ""왼쪽에 영어 문장을 입력하세요"",
  GOOGLETRANSLATE(D371,""en"",""ko"")
)"),"거만한")</f>
        <v>거만한</v>
      </c>
      <c r="F371" s="14" t="s">
        <v>672</v>
      </c>
    </row>
    <row r="372" ht="20.25" customHeight="1">
      <c r="A372" s="5">
        <v>438.0</v>
      </c>
      <c r="B372" s="6">
        <v>251224.0</v>
      </c>
      <c r="C372" s="4"/>
      <c r="D372" s="13" t="s">
        <v>673</v>
      </c>
      <c r="E372" s="8" t="str">
        <f>IFERROR(__xludf.DUMMYFUNCTION("IF(
  LEN(TRIM(D372))=0,
  ""왼쪽에 영어 문장을 입력하세요"",
  GOOGLETRANSLATE(D372,""en"",""ko"")
)"),"후원하다")</f>
        <v>후원하다</v>
      </c>
      <c r="F372" s="14" t="s">
        <v>674</v>
      </c>
    </row>
    <row r="373" ht="20.25" customHeight="1">
      <c r="A373" s="5">
        <v>439.0</v>
      </c>
      <c r="B373" s="6">
        <v>251224.0</v>
      </c>
      <c r="C373" s="4"/>
      <c r="D373" s="13" t="s">
        <v>675</v>
      </c>
      <c r="E373" s="8" t="str">
        <f>IFERROR(__xludf.DUMMYFUNCTION("IF(
  LEN(TRIM(D373))=0,
  ""왼쪽에 영어 문장을 입력하세요"",
  GOOGLETRANSLATE(D373,""en"",""ko"")
)"),"무언가에 붙어 있는")</f>
        <v>무언가에 붙어 있는</v>
      </c>
      <c r="F373" s="14" t="s">
        <v>676</v>
      </c>
    </row>
    <row r="374" ht="20.25" customHeight="1">
      <c r="A374" s="5">
        <v>440.0</v>
      </c>
      <c r="B374" s="6">
        <v>251224.0</v>
      </c>
      <c r="C374" s="4"/>
      <c r="D374" s="13" t="s">
        <v>677</v>
      </c>
      <c r="E374" s="8" t="str">
        <f>IFERROR(__xludf.DUMMYFUNCTION("IF(
  LEN(TRIM(D374))=0,
  ""왼쪽에 영어 문장을 입력하세요"",
  GOOGLETRANSLATE(D374,""en"",""ko"")
)"),"내 아이들은 하루 종일 태블릿에만 몰두해 있어요.")</f>
        <v>내 아이들은 하루 종일 태블릿에만 몰두해 있어요.</v>
      </c>
      <c r="F374" s="14" t="s">
        <v>678</v>
      </c>
    </row>
    <row r="375" ht="20.25" customHeight="1">
      <c r="A375" s="5">
        <v>441.0</v>
      </c>
      <c r="B375" s="6">
        <v>251224.0</v>
      </c>
      <c r="C375" s="4"/>
      <c r="D375" s="13" t="s">
        <v>679</v>
      </c>
      <c r="E375" s="8" t="str">
        <f>IFERROR(__xludf.DUMMYFUNCTION("IF(
  LEN(TRIM(D375))=0,
  ""왼쪽에 영어 문장을 입력하세요"",
  GOOGLETRANSLATE(D375,""en"",""ko"")
)"),"기술에 정통한")</f>
        <v>기술에 정통한</v>
      </c>
      <c r="F375" s="14" t="s">
        <v>680</v>
      </c>
    </row>
    <row r="376" ht="20.25" customHeight="1">
      <c r="A376" s="5">
        <v>442.0</v>
      </c>
      <c r="B376" s="6">
        <v>251224.0</v>
      </c>
      <c r="C376" s="4"/>
      <c r="D376" s="13" t="s">
        <v>681</v>
      </c>
      <c r="E376" s="8" t="str">
        <f>IFERROR(__xludf.DUMMYFUNCTION("IF(
  LEN(TRIM(D376))=0,
  ""왼쪽에 영어 문장을 입력하세요"",
  GOOGLETRANSLATE(D376,""en"",""ko"")
)"),"희망의 빛")</f>
        <v>희망의 빛</v>
      </c>
      <c r="F376" s="14" t="s">
        <v>682</v>
      </c>
    </row>
    <row r="377" ht="20.25" customHeight="1">
      <c r="A377" s="5">
        <v>443.0</v>
      </c>
      <c r="B377" s="6">
        <v>251224.0</v>
      </c>
      <c r="C377" s="4"/>
      <c r="D377" s="13" t="s">
        <v>683</v>
      </c>
      <c r="E377" s="8" t="str">
        <f>IFERROR(__xludf.DUMMYFUNCTION("IF(
  LEN(TRIM(D377))=0,
  ""왼쪽에 영어 문장을 입력하세요"",
  GOOGLETRANSLATE(D377,""en"",""ko"")
)"),"피자 먹고 싶어요?")</f>
        <v>피자 먹고 싶어요?</v>
      </c>
      <c r="F377" s="14" t="s">
        <v>684</v>
      </c>
    </row>
    <row r="378" ht="20.25" customHeight="1">
      <c r="A378" s="5">
        <v>444.0</v>
      </c>
      <c r="B378" s="6">
        <v>251224.0</v>
      </c>
      <c r="C378" s="4"/>
      <c r="D378" s="13" t="s">
        <v>685</v>
      </c>
      <c r="E378" s="8" t="str">
        <f>IFERROR(__xludf.DUMMYFUNCTION("IF(
  LEN(TRIM(D378))=0,
  ""왼쪽에 영어 문장을 입력하세요"",
  GOOGLETRANSLATE(D378,""en"",""ko"")
)"),"편안한 음식")</f>
        <v>편안한 음식</v>
      </c>
      <c r="F378" s="14" t="s">
        <v>686</v>
      </c>
    </row>
    <row r="379" ht="20.25" customHeight="1">
      <c r="A379" s="5">
        <v>445.0</v>
      </c>
      <c r="B379" s="6">
        <v>251224.0</v>
      </c>
      <c r="C379" s="4"/>
      <c r="D379" s="13" t="s">
        <v>687</v>
      </c>
      <c r="E379" s="8" t="str">
        <f>IFERROR(__xludf.DUMMYFUNCTION("IF(
  LEN(TRIM(D379))=0,
  ""왼쪽에 영어 문장을 입력하세요"",
  GOOGLETRANSLATE(D379,""en"",""ko"")
)"),"휘젓다 ~")</f>
        <v>휘젓다 ~</v>
      </c>
      <c r="F379" s="14" t="s">
        <v>688</v>
      </c>
    </row>
    <row r="380" ht="20.25" customHeight="1">
      <c r="A380" s="5">
        <v>446.0</v>
      </c>
      <c r="B380" s="6">
        <v>251224.0</v>
      </c>
      <c r="C380" s="4"/>
      <c r="D380" s="13" t="s">
        <v>689</v>
      </c>
      <c r="E380" s="8" t="str">
        <f>IFERROR(__xludf.DUMMYFUNCTION("IF(
  LEN(TRIM(D380))=0,
  ""왼쪽에 영어 문장을 입력하세요"",
  GOOGLETRANSLATE(D380,""en"",""ko"")
)"),"샐러드를 간단하게 만들고 싶다면,")</f>
        <v>샐러드를 간단하게 만들고 싶다면,</v>
      </c>
      <c r="F380" s="14" t="s">
        <v>690</v>
      </c>
    </row>
    <row r="381" ht="20.25" customHeight="1">
      <c r="A381" s="5">
        <v>447.0</v>
      </c>
      <c r="B381" s="6">
        <v>251224.0</v>
      </c>
      <c r="C381" s="4"/>
      <c r="D381" s="13" t="s">
        <v>691</v>
      </c>
      <c r="E381" s="8" t="str">
        <f>IFERROR(__xludf.DUMMYFUNCTION("IF(
  LEN(TRIM(D381))=0,
  ""왼쪽에 영어 문장을 입력하세요"",
  GOOGLETRANSLATE(D381,""en"",""ko"")
)"),"선동하다")</f>
        <v>선동하다</v>
      </c>
      <c r="F381" s="14" t="s">
        <v>692</v>
      </c>
    </row>
    <row r="382" ht="20.25" customHeight="1">
      <c r="A382" s="5">
        <v>448.0</v>
      </c>
      <c r="B382" s="6">
        <v>251224.0</v>
      </c>
      <c r="C382" s="4"/>
      <c r="D382" s="13" t="s">
        <v>693</v>
      </c>
      <c r="E382" s="8" t="str">
        <f>IFERROR(__xludf.DUMMYFUNCTION("IF(
  LEN(TRIM(D382))=0,
  ""왼쪽에 영어 문장을 입력하세요"",
  GOOGLETRANSLATE(D382,""en"",""ko"")
)"),"잔해")</f>
        <v>잔해</v>
      </c>
      <c r="F382" s="14" t="s">
        <v>694</v>
      </c>
    </row>
    <row r="383" ht="20.25" customHeight="1">
      <c r="A383" s="5">
        <v>449.0</v>
      </c>
      <c r="B383" s="6">
        <v>251224.0</v>
      </c>
      <c r="C383" s="4"/>
      <c r="D383" s="13" t="s">
        <v>695</v>
      </c>
      <c r="E383" s="8" t="str">
        <f>IFERROR(__xludf.DUMMYFUNCTION("IF(
  LEN(TRIM(D383))=0,
  ""왼쪽에 영어 문장을 입력하세요"",
  GOOGLETRANSLATE(D383,""en"",""ko"")
)"),"분별 없는")</f>
        <v>분별 없는</v>
      </c>
      <c r="F383" s="14" t="s">
        <v>696</v>
      </c>
    </row>
    <row r="384" ht="20.25" customHeight="1">
      <c r="A384" s="5">
        <v>450.0</v>
      </c>
      <c r="B384" s="6">
        <v>251224.0</v>
      </c>
      <c r="C384" s="4"/>
      <c r="D384" s="13" t="s">
        <v>697</v>
      </c>
      <c r="E384" s="8" t="str">
        <f>IFERROR(__xludf.DUMMYFUNCTION("IF(
  LEN(TRIM(D384))=0,
  ""왼쪽에 영어 문장을 입력하세요"",
  GOOGLETRANSLATE(D384,""en"",""ko"")
)"),"침투하다")</f>
        <v>침투하다</v>
      </c>
      <c r="F384" s="14" t="s">
        <v>698</v>
      </c>
    </row>
    <row r="385" ht="20.25" customHeight="1">
      <c r="A385" s="5">
        <v>451.0</v>
      </c>
      <c r="B385" s="6">
        <v>251224.0</v>
      </c>
      <c r="C385" s="4"/>
      <c r="D385" s="13" t="s">
        <v>699</v>
      </c>
      <c r="E385" s="8" t="str">
        <f>IFERROR(__xludf.DUMMYFUNCTION("IF(
  LEN(TRIM(D385))=0,
  ""왼쪽에 영어 문장을 입력하세요"",
  GOOGLETRANSLATE(D385,""en"",""ko"")
)"),"공기 중에 연기가 가득하다.")</f>
        <v>공기 중에 연기가 가득하다.</v>
      </c>
      <c r="F385" s="14" t="s">
        <v>700</v>
      </c>
    </row>
    <row r="386" ht="20.25" customHeight="1">
      <c r="A386" s="5">
        <v>452.0</v>
      </c>
      <c r="B386" s="6">
        <v>251224.0</v>
      </c>
      <c r="C386" s="4"/>
      <c r="D386" s="13" t="s">
        <v>701</v>
      </c>
      <c r="E386" s="8" t="str">
        <f>IFERROR(__xludf.DUMMYFUNCTION("IF(
  LEN(TRIM(D386))=0,
  ""왼쪽에 영어 문장을 입력하세요"",
  GOOGLETRANSLATE(D386,""en"",""ko"")
)"),"재현하다")</f>
        <v>재현하다</v>
      </c>
      <c r="F386" s="14" t="s">
        <v>702</v>
      </c>
    </row>
    <row r="387" ht="20.25" customHeight="1">
      <c r="A387" s="5">
        <v>453.0</v>
      </c>
      <c r="B387" s="6">
        <v>251224.0</v>
      </c>
      <c r="C387" s="4"/>
      <c r="D387" s="13" t="s">
        <v>703</v>
      </c>
      <c r="E387" s="8" t="str">
        <f>IFERROR(__xludf.DUMMYFUNCTION("IF(
  LEN(TRIM(D387))=0,
  ""왼쪽에 영어 문장을 입력하세요"",
  GOOGLETRANSLATE(D387,""en"",""ko"")
)"),"정점 ")</f>
        <v>정점 </v>
      </c>
      <c r="F387" s="14" t="s">
        <v>704</v>
      </c>
    </row>
    <row r="388" ht="20.25" customHeight="1">
      <c r="A388" s="5">
        <v>454.0</v>
      </c>
      <c r="B388" s="6">
        <v>251224.0</v>
      </c>
      <c r="C388" s="4"/>
      <c r="D388" s="13" t="s">
        <v>705</v>
      </c>
      <c r="E388" s="8" t="str">
        <f>IFERROR(__xludf.DUMMYFUNCTION("IF(
  LEN(TRIM(D388))=0,
  ""왼쪽에 영어 문장을 입력하세요"",
  GOOGLETRANSLATE(D388,""en"",""ko"")
)"),"해동")</f>
        <v>해동</v>
      </c>
      <c r="F388" s="14" t="s">
        <v>706</v>
      </c>
    </row>
    <row r="389" ht="20.25" customHeight="1">
      <c r="A389" s="5">
        <v>455.0</v>
      </c>
      <c r="B389" s="6">
        <v>251224.0</v>
      </c>
      <c r="C389" s="4"/>
      <c r="D389" s="13" t="s">
        <v>707</v>
      </c>
      <c r="E389" s="8" t="str">
        <f>IFERROR(__xludf.DUMMYFUNCTION("IF(
  LEN(TRIM(D389))=0,
  ""왼쪽에 영어 문장을 입력하세요"",
  GOOGLETRANSLATE(D389,""en"",""ko"")
)"),"불쾌한")</f>
        <v>불쾌한</v>
      </c>
      <c r="F389" s="14" t="s">
        <v>708</v>
      </c>
    </row>
    <row r="390" ht="20.25" customHeight="1">
      <c r="A390" s="5">
        <v>456.0</v>
      </c>
      <c r="B390" s="6">
        <v>251224.0</v>
      </c>
      <c r="C390" s="4"/>
      <c r="D390" s="13" t="s">
        <v>709</v>
      </c>
      <c r="E390" s="8" t="str">
        <f>IFERROR(__xludf.DUMMYFUNCTION("IF(
  LEN(TRIM(D390))=0,
  ""왼쪽에 영어 문장을 입력하세요"",
  GOOGLETRANSLATE(D390,""en"",""ko"")
)"),"무언가에 질리다")</f>
        <v>무언가에 질리다</v>
      </c>
      <c r="F390" s="14" t="s">
        <v>710</v>
      </c>
    </row>
    <row r="391" ht="20.25" customHeight="1">
      <c r="A391" s="5">
        <v>457.0</v>
      </c>
      <c r="B391" s="6">
        <v>251224.0</v>
      </c>
      <c r="C391" s="4"/>
      <c r="D391" s="13" t="s">
        <v>711</v>
      </c>
      <c r="E391" s="8" t="str">
        <f>IFERROR(__xludf.DUMMYFUNCTION("IF(
  LEN(TRIM(D391))=0,
  ""왼쪽에 영어 문장을 입력하세요"",
  GOOGLETRANSLATE(D391,""en"",""ko"")
)"),"위층 이웃 때문에 너무 짜증나요")</f>
        <v>위층 이웃 때문에 너무 짜증나요</v>
      </c>
      <c r="F391" s="14" t="s">
        <v>712</v>
      </c>
    </row>
    <row r="392" ht="20.25" customHeight="1">
      <c r="A392" s="5">
        <v>458.0</v>
      </c>
      <c r="B392" s="6">
        <v>251224.0</v>
      </c>
      <c r="C392" s="4"/>
      <c r="D392" s="13" t="s">
        <v>713</v>
      </c>
      <c r="E392" s="8" t="str">
        <f>IFERROR(__xludf.DUMMYFUNCTION("IF(
  LEN(TRIM(D392))=0,
  ""왼쪽에 영어 문장을 입력하세요"",
  GOOGLETRANSLATE(D392,""en"",""ko"")
)"),"늙다")</f>
        <v>늙다</v>
      </c>
      <c r="F392" s="14" t="s">
        <v>714</v>
      </c>
    </row>
    <row r="393" ht="20.25" customHeight="1">
      <c r="A393" s="5">
        <v>459.0</v>
      </c>
      <c r="B393" s="6">
        <v>251224.0</v>
      </c>
      <c r="C393" s="4"/>
      <c r="D393" s="13" t="s">
        <v>715</v>
      </c>
      <c r="E393" s="8" t="str">
        <f>IFERROR(__xludf.DUMMYFUNCTION("IF(
  LEN(TRIM(D393))=0,
  ""왼쪽에 영어 문장을 입력하세요"",
  GOOGLETRANSLATE(D393,""en"",""ko"")
)"),"아빠 개그는 금방 식상해져요")</f>
        <v>아빠 개그는 금방 식상해져요</v>
      </c>
      <c r="F393" s="14" t="s">
        <v>716</v>
      </c>
    </row>
    <row r="394" ht="20.25" customHeight="1">
      <c r="A394" s="5">
        <v>460.0</v>
      </c>
      <c r="B394" s="6">
        <v>251224.0</v>
      </c>
      <c r="C394" s="4"/>
      <c r="D394" s="7" t="s">
        <v>717</v>
      </c>
      <c r="E394" s="8" t="str">
        <f>IFERROR(__xludf.DUMMYFUNCTION("IF(
  LEN(TRIM(D394))=0,
  ""왼쪽에 영어 문장을 입력하세요"",
  GOOGLETRANSLATE(D394,""en"",""ko"")
)"),"혼자서")</f>
        <v>혼자서</v>
      </c>
      <c r="F394" s="9" t="s">
        <v>718</v>
      </c>
    </row>
    <row r="395" ht="20.25" customHeight="1">
      <c r="A395" s="5">
        <v>461.0</v>
      </c>
      <c r="B395" s="6">
        <v>251224.0</v>
      </c>
      <c r="C395" s="4"/>
      <c r="D395" s="7" t="s">
        <v>719</v>
      </c>
      <c r="E395" s="8" t="str">
        <f>IFERROR(__xludf.DUMMYFUNCTION("IF(
  LEN(TRIM(D395))=0,
  ""왼쪽에 영어 문장을 입력하세요"",
  GOOGLETRANSLATE(D395,""en"",""ko"")
)"),"학교를 그만두면, 너는 이제 혼자야.")</f>
        <v>학교를 그만두면, 너는 이제 혼자야.</v>
      </c>
      <c r="F395" s="9" t="s">
        <v>720</v>
      </c>
    </row>
    <row r="396" ht="20.25" customHeight="1">
      <c r="A396" s="5">
        <v>462.0</v>
      </c>
      <c r="B396" s="6">
        <v>251224.0</v>
      </c>
      <c r="C396" s="4"/>
      <c r="D396" s="7" t="s">
        <v>721</v>
      </c>
      <c r="E396" s="8" t="str">
        <f>IFERROR(__xludf.DUMMYFUNCTION("IF(
  LEN(TRIM(D396))=0,
  ""왼쪽에 영어 문장을 입력하세요"",
  GOOGLETRANSLATE(D396,""en"",""ko"")
)"),"이 프로젝트는 제가 혼자서 했습니다.")</f>
        <v>이 프로젝트는 제가 혼자서 했습니다.</v>
      </c>
      <c r="F396" s="9" t="s">
        <v>722</v>
      </c>
    </row>
    <row r="397" ht="20.25" customHeight="1">
      <c r="A397" s="5">
        <v>463.0</v>
      </c>
      <c r="B397" s="6">
        <v>251224.0</v>
      </c>
      <c r="C397" s="4"/>
      <c r="D397" s="7" t="s">
        <v>723</v>
      </c>
      <c r="E397" s="8" t="str">
        <f>IFERROR(__xludf.DUMMYFUNCTION("IF(
  LEN(TRIM(D397))=0,
  ""왼쪽에 영어 문장을 입력하세요"",
  GOOGLETRANSLATE(D397,""en"",""ko"")
)"),"나는 혼자입니다")</f>
        <v>나는 혼자입니다</v>
      </c>
      <c r="F397" s="9" t="s">
        <v>724</v>
      </c>
    </row>
    <row r="398" ht="20.25" customHeight="1">
      <c r="A398" s="5">
        <v>464.0</v>
      </c>
      <c r="B398" s="6">
        <v>251224.0</v>
      </c>
      <c r="C398" s="4"/>
      <c r="D398" s="7" t="s">
        <v>725</v>
      </c>
      <c r="E398" s="8" t="str">
        <f>IFERROR(__xludf.DUMMYFUNCTION("IF(
  LEN(TRIM(D398))=0,
  ""왼쪽에 영어 문장을 입력하세요"",
  GOOGLETRANSLATE(D398,""en"",""ko"")
)"),"수요일")</f>
        <v>수요일</v>
      </c>
      <c r="F398" s="9" t="s">
        <v>726</v>
      </c>
    </row>
    <row r="399" ht="20.25" customHeight="1">
      <c r="A399" s="5">
        <v>465.0</v>
      </c>
      <c r="B399" s="6">
        <v>251224.0</v>
      </c>
      <c r="C399" s="4"/>
      <c r="D399" s="7" t="s">
        <v>727</v>
      </c>
      <c r="E399" s="8" t="str">
        <f>IFERROR(__xludf.DUMMYFUNCTION("IF(
  LEN(TRIM(D399))=0,
  ""왼쪽에 영어 문장을 입력하세요"",
  GOOGLETRANSLATE(D399,""en"",""ko"")
)"),"볼이 붉어지다")</f>
        <v>볼이 붉어지다</v>
      </c>
      <c r="F399" s="9" t="s">
        <v>728</v>
      </c>
    </row>
    <row r="400" ht="20.25" customHeight="1">
      <c r="A400" s="5">
        <v>466.0</v>
      </c>
      <c r="B400" s="6">
        <v>251224.0</v>
      </c>
      <c r="C400" s="4"/>
      <c r="D400" s="7" t="s">
        <v>729</v>
      </c>
      <c r="E400" s="8" t="str">
        <f>IFERROR(__xludf.DUMMYFUNCTION("IF(
  LEN(TRIM(D400))=0,
  ""왼쪽에 영어 문장을 입력하세요"",
  GOOGLETRANSLATE(D400,""en"",""ko"")
)"),"얼굴이 빨개졌어?")</f>
        <v>얼굴이 빨개졌어?</v>
      </c>
      <c r="F400" s="9" t="s">
        <v>730</v>
      </c>
    </row>
    <row r="401" ht="20.25" customHeight="1">
      <c r="A401" s="5">
        <v>467.0</v>
      </c>
      <c r="B401" s="6">
        <v>251224.0</v>
      </c>
      <c r="C401" s="4"/>
      <c r="D401" s="7" t="s">
        <v>731</v>
      </c>
      <c r="E401" s="8" t="str">
        <f>IFERROR(__xludf.DUMMYFUNCTION("IF(
  LEN(TRIM(D401))=0,
  ""왼쪽에 영어 문장을 입력하세요"",
  GOOGLETRANSLATE(D401,""en"",""ko"")
)"),"관절에 무리가 가지 않는")</f>
        <v>관절에 무리가 가지 않는</v>
      </c>
      <c r="F401" s="9" t="s">
        <v>732</v>
      </c>
    </row>
    <row r="402" ht="20.25" customHeight="1">
      <c r="A402" s="5">
        <v>468.0</v>
      </c>
      <c r="B402" s="6">
        <v>251224.0</v>
      </c>
      <c r="C402" s="4"/>
      <c r="D402" s="7" t="s">
        <v>733</v>
      </c>
      <c r="E402" s="8" t="str">
        <f>IFERROR(__xludf.DUMMYFUNCTION("IF(
  LEN(TRIM(D402))=0,
  ""왼쪽에 영어 문장을 입력하세요"",
  GOOGLETRANSLATE(D402,""en"",""ko"")
)"),"관절에 심한 통증을 유발하지 않습니다.")</f>
        <v>관절에 심한 통증을 유발하지 않습니다.</v>
      </c>
      <c r="F402" s="9" t="s">
        <v>732</v>
      </c>
    </row>
    <row r="403" ht="20.25" customHeight="1">
      <c r="A403" s="5">
        <v>469.0</v>
      </c>
      <c r="B403" s="6">
        <v>251224.0</v>
      </c>
      <c r="C403" s="4"/>
      <c r="D403" s="7" t="s">
        <v>734</v>
      </c>
      <c r="E403" s="8" t="str">
        <f>IFERROR(__xludf.DUMMYFUNCTION("IF(
  LEN(TRIM(D403))=0,
  ""왼쪽에 영어 문장을 입력하세요"",
  GOOGLETRANSLATE(D403,""en"",""ko"")
)"),"눈에 편안한")</f>
        <v>눈에 편안한</v>
      </c>
      <c r="F403" s="9" t="s">
        <v>735</v>
      </c>
    </row>
    <row r="404" ht="20.25" customHeight="1">
      <c r="A404" s="5">
        <v>470.0</v>
      </c>
      <c r="B404" s="6">
        <v>251224.0</v>
      </c>
      <c r="C404" s="4"/>
      <c r="D404" s="7" t="s">
        <v>736</v>
      </c>
      <c r="E404" s="8" t="str">
        <f>IFERROR(__xludf.DUMMYFUNCTION("IF(
  LEN(TRIM(D404))=0,
  ""왼쪽에 영어 문장을 입력하세요"",
  GOOGLETRANSLATE(D404,""en"",""ko"")
)"),"지갑에 부담 없는 가격")</f>
        <v>지갑에 부담 없는 가격</v>
      </c>
      <c r="F404" s="9" t="s">
        <v>737</v>
      </c>
    </row>
    <row r="405" ht="20.25" customHeight="1">
      <c r="A405" s="5">
        <v>471.0</v>
      </c>
      <c r="B405" s="6">
        <v>251224.0</v>
      </c>
      <c r="C405" s="4"/>
      <c r="D405" s="7" t="s">
        <v>738</v>
      </c>
      <c r="E405" s="8" t="str">
        <f>IFERROR(__xludf.DUMMYFUNCTION("IF(
  LEN(TRIM(D405))=0,
  ""왼쪽에 영어 문장을 입력하세요"",
  GOOGLETRANSLATE(D405,""en"",""ko"")
)"),"큰 기회")</f>
        <v>큰 기회</v>
      </c>
      <c r="F405" s="9" t="s">
        <v>739</v>
      </c>
    </row>
    <row r="406" ht="20.25" customHeight="1">
      <c r="A406" s="5">
        <v>472.0</v>
      </c>
      <c r="B406" s="6">
        <v>251224.0</v>
      </c>
      <c r="C406" s="4"/>
      <c r="D406" s="7" t="s">
        <v>740</v>
      </c>
      <c r="E406" s="8" t="str">
        <f>IFERROR(__xludf.DUMMYFUNCTION("IF(
  LEN(TRIM(D406))=0,
  ""왼쪽에 영어 문장을 입력하세요"",
  GOOGLETRANSLATE(D406,""en"",""ko"")
)"),"행운의 부적")</f>
        <v>행운의 부적</v>
      </c>
      <c r="F406" s="9" t="s">
        <v>741</v>
      </c>
    </row>
    <row r="407" ht="20.25" customHeight="1">
      <c r="A407" s="5">
        <v>473.0</v>
      </c>
      <c r="B407" s="6">
        <v>251224.0</v>
      </c>
      <c r="C407" s="4"/>
      <c r="D407" s="7" t="s">
        <v>742</v>
      </c>
      <c r="E407" s="8" t="str">
        <f>IFERROR(__xludf.DUMMYFUNCTION("IF(
  LEN(TRIM(D407))=0,
  ""왼쪽에 영어 문장을 입력하세요"",
  GOOGLETRANSLATE(D407,""en"",""ko"")
)"),"마음이 방황하고 있다")</f>
        <v>마음이 방황하고 있다</v>
      </c>
      <c r="F407" s="9" t="s">
        <v>743</v>
      </c>
    </row>
    <row r="408" ht="20.25" customHeight="1">
      <c r="A408" s="5">
        <v>474.0</v>
      </c>
      <c r="B408" s="6">
        <v>251224.0</v>
      </c>
      <c r="C408" s="4"/>
      <c r="D408" s="7" t="s">
        <v>744</v>
      </c>
      <c r="E408" s="8" t="str">
        <f>IFERROR(__xludf.DUMMYFUNCTION("IF(
  LEN(TRIM(D408))=0,
  ""왼쪽에 영어 문장을 입력하세요"",
  GOOGLETRANSLATE(D408,""en"",""ko"")
)"),"무언가를 없애다")</f>
        <v>무언가를 없애다</v>
      </c>
      <c r="F408" s="9" t="s">
        <v>745</v>
      </c>
    </row>
    <row r="409" ht="20.25" customHeight="1">
      <c r="A409" s="5">
        <v>475.0</v>
      </c>
      <c r="B409" s="6">
        <v>251224.0</v>
      </c>
      <c r="C409" s="4"/>
      <c r="D409" s="7" t="s">
        <v>746</v>
      </c>
      <c r="E409" s="8" t="str">
        <f>IFERROR(__xludf.DUMMYFUNCTION("IF(
  LEN(TRIM(D409))=0,
  ""왼쪽에 영어 문장을 입력하세요"",
  GOOGLETRANSLATE(D409,""en"",""ko"")
)"),"저는 2주 동안 이 감기를 낫게 하려고 애쓰고 있어요.")</f>
        <v>저는 2주 동안 이 감기를 낫게 하려고 애쓰고 있어요.</v>
      </c>
      <c r="F409" s="9" t="s">
        <v>747</v>
      </c>
    </row>
    <row r="410" ht="20.25" customHeight="1">
      <c r="A410" s="5">
        <v>476.0</v>
      </c>
      <c r="B410" s="6">
        <v>251224.0</v>
      </c>
      <c r="C410" s="4"/>
      <c r="D410" s="7" t="s">
        <v>748</v>
      </c>
      <c r="E410" s="8" t="str">
        <f>IFERROR(__xludf.DUMMYFUNCTION("IF(
  LEN(TRIM(D410))=0,
  ""왼쪽에 영어 문장을 입력하세요"",
  GOOGLETRANSLATE(D410,""en"",""ko"")
)"),"그 모든 빚에서 드디어 벗어나니 기분이 정말 좋겠네요.")</f>
        <v>그 모든 빚에서 드디어 벗어나니 기분이 정말 좋겠네요.</v>
      </c>
      <c r="F410" s="9" t="s">
        <v>749</v>
      </c>
    </row>
    <row r="411" ht="20.25" customHeight="1">
      <c r="A411" s="5">
        <v>477.0</v>
      </c>
      <c r="B411" s="6">
        <v>251224.0</v>
      </c>
      <c r="C411" s="4"/>
      <c r="D411" s="7" t="s">
        <v>750</v>
      </c>
      <c r="E411" s="8" t="str">
        <f>IFERROR(__xludf.DUMMYFUNCTION("IF(
  LEN(TRIM(D411))=0,
  ""왼쪽에 영어 문장을 입력하세요"",
  GOOGLETRANSLATE(D411,""en"",""ko"")
)"),"화장이 지워질 수 있어요")</f>
        <v>화장이 지워질 수 있어요</v>
      </c>
      <c r="F411" s="9" t="s">
        <v>751</v>
      </c>
    </row>
    <row r="412" ht="20.25" customHeight="1">
      <c r="A412" s="5">
        <v>478.0</v>
      </c>
      <c r="B412" s="6">
        <v>251224.0</v>
      </c>
      <c r="C412" s="4"/>
      <c r="D412" s="7" t="s">
        <v>752</v>
      </c>
      <c r="E412" s="8" t="str">
        <f>IFERROR(__xludf.DUMMYFUNCTION("IF(
  LEN(TRIM(D412))=0,
  ""왼쪽에 영어 문장을 입력하세요"",
  GOOGLETRANSLATE(D412,""en"",""ko"")
)"),"여러분의 열정이 식지 않기를 바랍니다.")</f>
        <v>여러분의 열정이 식지 않기를 바랍니다.</v>
      </c>
      <c r="F412" s="9" t="s">
        <v>753</v>
      </c>
    </row>
    <row r="413" ht="20.25" customHeight="1">
      <c r="A413" s="5">
        <v>479.0</v>
      </c>
      <c r="B413" s="6">
        <v>251224.0</v>
      </c>
      <c r="C413" s="4"/>
      <c r="D413" s="7" t="s">
        <v>754</v>
      </c>
      <c r="E413" s="8" t="str">
        <f>IFERROR(__xludf.DUMMYFUNCTION("IF(
  LEN(TRIM(D413))=0,
  ""왼쪽에 영어 문장을 입력하세요"",
  GOOGLETRANSLATE(D413,""en"",""ko"")
)"),"인생의 큰 기회를 잡을 준비를 해야 합니다. 그 기회를 꽉 잡고 앞으로 나아가세요.")</f>
        <v>인생의 큰 기회를 잡을 준비를 해야 합니다. 그 기회를 꽉 잡고 앞으로 나아가세요.</v>
      </c>
      <c r="F413" s="9" t="s">
        <v>755</v>
      </c>
    </row>
    <row r="414" ht="20.25" customHeight="1">
      <c r="A414" s="5">
        <v>480.0</v>
      </c>
      <c r="B414" s="6">
        <v>251224.0</v>
      </c>
      <c r="C414" s="4"/>
      <c r="D414" s="7" t="s">
        <v>756</v>
      </c>
      <c r="E414" s="8" t="str">
        <f>IFERROR(__xludf.DUMMYFUNCTION("IF(
  LEN(TRIM(D414))=0,
  ""왼쪽에 영어 문장을 입력하세요"",
  GOOGLETRANSLATE(D414,""en"",""ko"")
)"),"조류를 막다")</f>
        <v>조류를 막다</v>
      </c>
      <c r="F414" s="9" t="s">
        <v>757</v>
      </c>
    </row>
    <row r="415" ht="20.25" customHeight="1">
      <c r="A415" s="5">
        <v>481.0</v>
      </c>
      <c r="B415" s="6">
        <v>251224.0</v>
      </c>
      <c r="C415" s="4"/>
      <c r="D415" s="7" t="s">
        <v>758</v>
      </c>
      <c r="E415" s="8" t="str">
        <f>IFERROR(__xludf.DUMMYFUNCTION("IF(
  LEN(TRIM(D415))=0,
  ""왼쪽에 영어 문장을 입력하세요"",
  GOOGLETRANSLATE(D415,""en"",""ko"")
)"),"인플레이션의 흐름을 막다")</f>
        <v>인플레이션의 흐름을 막다</v>
      </c>
      <c r="F415" s="9" t="s">
        <v>759</v>
      </c>
    </row>
    <row r="416" ht="20.25" customHeight="1">
      <c r="A416" s="5">
        <v>482.0</v>
      </c>
      <c r="B416" s="6">
        <v>251224.0</v>
      </c>
      <c r="C416" s="4"/>
      <c r="D416" s="7" t="s">
        <v>760</v>
      </c>
      <c r="E416" s="8" t="str">
        <f>IFERROR(__xludf.DUMMYFUNCTION("IF(
  LEN(TRIM(D416))=0,
  ""왼쪽에 영어 문장을 입력하세요"",
  GOOGLETRANSLATE(D416,""en"",""ko"")
)"),"배경")</f>
        <v>배경</v>
      </c>
      <c r="F416" s="9" t="s">
        <v>761</v>
      </c>
    </row>
    <row r="417" ht="20.25" customHeight="1">
      <c r="A417" s="5">
        <v>483.0</v>
      </c>
      <c r="B417" s="6">
        <v>251224.0</v>
      </c>
      <c r="C417" s="4"/>
      <c r="D417" s="7" t="s">
        <v>762</v>
      </c>
      <c r="E417" s="8" t="str">
        <f>IFERROR(__xludf.DUMMYFUNCTION("IF(
  LEN(TRIM(D417))=0,
  ""왼쪽에 영어 문장을 입력하세요"",
  GOOGLETRANSLATE(D417,""en"",""ko"")
)"),"장수")</f>
        <v>장수</v>
      </c>
      <c r="F417" s="9" t="s">
        <v>763</v>
      </c>
    </row>
    <row r="418" ht="20.25" customHeight="1">
      <c r="A418" s="5">
        <v>484.0</v>
      </c>
      <c r="B418" s="6">
        <v>251224.0</v>
      </c>
      <c r="C418" s="4"/>
      <c r="D418" s="7" t="s">
        <v>764</v>
      </c>
      <c r="E418" s="8" t="str">
        <f>IFERROR(__xludf.DUMMYFUNCTION("IF(
  LEN(TRIM(D418))=0,
  ""왼쪽에 영어 문장을 입력하세요"",
  GOOGLETRANSLATE(D418,""en"",""ko"")
)"),"진입 장벽")</f>
        <v>진입 장벽</v>
      </c>
      <c r="F418" s="9" t="s">
        <v>765</v>
      </c>
    </row>
    <row r="419" ht="20.25" customHeight="1">
      <c r="A419" s="5">
        <v>485.0</v>
      </c>
      <c r="B419" s="6">
        <v>251224.0</v>
      </c>
      <c r="C419" s="4"/>
      <c r="D419" s="7" t="s">
        <v>766</v>
      </c>
      <c r="E419" s="8" t="str">
        <f>IFERROR(__xludf.DUMMYFUNCTION("IF(
  LEN(TRIM(D419))=0,
  ""왼쪽에 영어 문장을 입력하세요"",
  GOOGLETRANSLATE(D419,""en"",""ko"")
)"),"장애인 편의시설 버스")</f>
        <v>장애인 편의시설 버스</v>
      </c>
      <c r="F419" s="9" t="s">
        <v>767</v>
      </c>
    </row>
    <row r="420" ht="20.25" customHeight="1">
      <c r="A420" s="5">
        <v>486.0</v>
      </c>
      <c r="B420" s="6">
        <v>251224.0</v>
      </c>
      <c r="C420" s="4"/>
      <c r="D420" s="7" t="s">
        <v>515</v>
      </c>
      <c r="E420" s="8" t="str">
        <f>IFERROR(__xludf.DUMMYFUNCTION("IF(
  LEN(TRIM(D420))=0,
  ""왼쪽에 영어 문장을 입력하세요"",
  GOOGLETRANSLATE(D420,""en"",""ko"")
)"),"격렬한")</f>
        <v>격렬한</v>
      </c>
      <c r="F420" s="9" t="s">
        <v>768</v>
      </c>
    </row>
    <row r="421" ht="20.25" customHeight="1">
      <c r="A421" s="5">
        <v>487.0</v>
      </c>
      <c r="B421" s="6">
        <v>251224.0</v>
      </c>
      <c r="C421" s="4"/>
      <c r="D421" s="7" t="s">
        <v>769</v>
      </c>
      <c r="E421" s="8" t="str">
        <f>IFERROR(__xludf.DUMMYFUNCTION("IF(
  LEN(TRIM(D421))=0,
  ""왼쪽에 영어 문장을 입력하세요"",
  GOOGLETRANSLATE(D421,""en"",""ko"")
)"),"이 노래가 왜 머릿속에서 떠나지 않는 걸까요? 계속 머릿속에 맴돌아요.")</f>
        <v>이 노래가 왜 머릿속에서 떠나지 않는 걸까요? 계속 머릿속에 맴돌아요.</v>
      </c>
      <c r="F421" s="9" t="s">
        <v>770</v>
      </c>
    </row>
    <row r="422" ht="20.25" customHeight="1">
      <c r="A422" s="5">
        <v>488.0</v>
      </c>
      <c r="B422" s="6">
        <v>251224.0</v>
      </c>
      <c r="C422" s="4"/>
      <c r="D422" s="7" t="s">
        <v>771</v>
      </c>
      <c r="E422" s="8" t="str">
        <f>IFERROR(__xludf.DUMMYFUNCTION("IF(
  LEN(TRIM(D422))=0,
  ""왼쪽에 영어 문장을 입력하세요"",
  GOOGLETRANSLATE(D422,""en"",""ko"")
)"),"파급 효과")</f>
        <v>파급 효과</v>
      </c>
      <c r="F422" s="9" t="s">
        <v>772</v>
      </c>
    </row>
    <row r="423" ht="20.25" customHeight="1">
      <c r="A423" s="5">
        <v>489.0</v>
      </c>
      <c r="B423" s="6">
        <v>251224.0</v>
      </c>
      <c r="C423" s="4"/>
      <c r="D423" s="7" t="s">
        <v>773</v>
      </c>
      <c r="E423" s="8" t="str">
        <f>IFERROR(__xludf.DUMMYFUNCTION("IF(
  LEN(TRIM(D423))=0,
  ""왼쪽에 영어 문장을 입력하세요"",
  GOOGLETRANSLATE(D423,""en"",""ko"")
)"),"리플")</f>
        <v>리플</v>
      </c>
      <c r="F423" s="9" t="s">
        <v>774</v>
      </c>
    </row>
    <row r="424" ht="20.25" customHeight="1">
      <c r="A424" s="5">
        <v>490.0</v>
      </c>
      <c r="B424" s="6">
        <v>251224.0</v>
      </c>
      <c r="C424" s="4"/>
      <c r="D424" s="7" t="s">
        <v>775</v>
      </c>
      <c r="E424" s="8" t="str">
        <f>IFERROR(__xludf.DUMMYFUNCTION("IF(
  LEN(TRIM(D424))=0,
  ""왼쪽에 영어 문장을 입력하세요"",
  GOOGLETRANSLATE(D424,""en"",""ko"")
)"),"같은 생각을 가진 사람들")</f>
        <v>같은 생각을 가진 사람들</v>
      </c>
      <c r="F424" s="9" t="s">
        <v>776</v>
      </c>
    </row>
    <row r="425" ht="20.25" customHeight="1">
      <c r="A425" s="5">
        <v>491.0</v>
      </c>
      <c r="B425" s="6">
        <v>251224.0</v>
      </c>
      <c r="C425" s="4"/>
      <c r="D425" s="7" t="s">
        <v>777</v>
      </c>
      <c r="E425" s="8" t="str">
        <f>IFERROR(__xludf.DUMMYFUNCTION("IF(
  LEN(TRIM(D425))=0,
  ""왼쪽에 영어 문장을 입력하세요"",
  GOOGLETRANSLATE(D425,""en"",""ko"")
)"),"누군가와 어울리다")</f>
        <v>누군가와 어울리다</v>
      </c>
      <c r="F425" s="9" t="s">
        <v>778</v>
      </c>
    </row>
    <row r="426" ht="20.25" customHeight="1">
      <c r="A426" s="5">
        <v>492.0</v>
      </c>
      <c r="B426" s="6">
        <v>251224.0</v>
      </c>
      <c r="C426" s="4"/>
      <c r="D426" s="7" t="s">
        <v>779</v>
      </c>
      <c r="E426" s="8" t="str">
        <f>IFERROR(__xludf.DUMMYFUNCTION("IF(
  LEN(TRIM(D426))=0,
  ""왼쪽에 영어 문장을 입력하세요"",
  GOOGLETRANSLATE(D426,""en"",""ko"")
)"),"가볍게 이야기 나누다")</f>
        <v>가볍게 이야기 나누다</v>
      </c>
      <c r="F426" s="9" t="s">
        <v>780</v>
      </c>
    </row>
    <row r="427" ht="20.25" customHeight="1">
      <c r="A427" s="5">
        <v>493.0</v>
      </c>
      <c r="B427" s="6">
        <v>251224.0</v>
      </c>
      <c r="C427" s="4"/>
      <c r="D427" s="7" t="s">
        <v>781</v>
      </c>
      <c r="E427" s="8" t="str">
        <f>IFERROR(__xludf.DUMMYFUNCTION("IF(
  LEN(TRIM(D427))=0,
  ""왼쪽에 영어 문장을 입력하세요"",
  GOOGLETRANSLATE(D427,""en"",""ko"")
)"),"유역")</f>
        <v>유역</v>
      </c>
      <c r="F427" s="9" t="s">
        <v>782</v>
      </c>
    </row>
    <row r="428" ht="20.25" customHeight="1">
      <c r="A428" s="5">
        <v>494.0</v>
      </c>
      <c r="B428" s="6">
        <v>251224.0</v>
      </c>
      <c r="C428" s="4"/>
      <c r="D428" s="7" t="s">
        <v>783</v>
      </c>
      <c r="E428" s="8" t="str">
        <f>IFERROR(__xludf.DUMMYFUNCTION("IF(
  LEN(TRIM(D428))=0,
  ""왼쪽에 영어 문장을 입력하세요"",
  GOOGLETRANSLATE(D428,""en"",""ko"")
)"),"세금 감면")</f>
        <v>세금 감면</v>
      </c>
      <c r="F428" s="9" t="s">
        <v>784</v>
      </c>
    </row>
    <row r="429" ht="20.25" customHeight="1">
      <c r="A429" s="5">
        <v>495.0</v>
      </c>
      <c r="B429" s="6">
        <v>251224.0</v>
      </c>
      <c r="C429" s="4"/>
      <c r="D429" s="7" t="s">
        <v>785</v>
      </c>
      <c r="E429" s="8" t="str">
        <f>IFERROR(__xludf.DUMMYFUNCTION("IF(
  LEN(TRIM(D429))=0,
  ""왼쪽에 영어 문장을 입력하세요"",
  GOOGLETRANSLATE(D429,""en"",""ko"")
)"),"침해하다")</f>
        <v>침해하다</v>
      </c>
      <c r="F429" s="9" t="s">
        <v>786</v>
      </c>
    </row>
    <row r="430" ht="20.25" customHeight="1">
      <c r="A430" s="5">
        <v>496.0</v>
      </c>
      <c r="B430" s="6">
        <v>251224.0</v>
      </c>
      <c r="C430" s="4"/>
      <c r="D430" s="7" t="s">
        <v>787</v>
      </c>
      <c r="E430" s="8" t="str">
        <f>IFERROR(__xludf.DUMMYFUNCTION("IF(
  LEN(TRIM(D430))=0,
  ""왼쪽에 영어 문장을 입력하세요"",
  GOOGLETRANSLATE(D430,""en"",""ko"")
)"),"표절하다")</f>
        <v>표절하다</v>
      </c>
      <c r="F430" s="9" t="s">
        <v>788</v>
      </c>
    </row>
    <row r="431" ht="20.25" customHeight="1">
      <c r="A431" s="5">
        <v>497.0</v>
      </c>
      <c r="B431" s="6">
        <v>251224.0</v>
      </c>
      <c r="C431" s="4"/>
      <c r="D431" s="7" t="s">
        <v>789</v>
      </c>
      <c r="E431" s="8" t="str">
        <f>IFERROR(__xludf.DUMMYFUNCTION("IF(
  LEN(TRIM(D431))=0,
  ""왼쪽에 영어 문장을 입력하세요"",
  GOOGLETRANSLATE(D431,""en"",""ko"")
)"),"자선가")</f>
        <v>자선가</v>
      </c>
      <c r="F431" s="9" t="s">
        <v>790</v>
      </c>
    </row>
    <row r="432" ht="20.25" customHeight="1">
      <c r="A432" s="5">
        <v>498.0</v>
      </c>
      <c r="B432" s="6">
        <v>251224.0</v>
      </c>
      <c r="C432" s="4"/>
      <c r="D432" s="7" t="s">
        <v>791</v>
      </c>
      <c r="E432" s="8" t="str">
        <f>IFERROR(__xludf.DUMMYFUNCTION("IF(
  LEN(TRIM(D432))=0,
  ""왼쪽에 영어 문장을 입력하세요"",
  GOOGLETRANSLATE(D432,""en"",""ko"")
)"),"약속")</f>
        <v>약속</v>
      </c>
      <c r="F432" s="9" t="s">
        <v>792</v>
      </c>
    </row>
    <row r="433" ht="20.25" customHeight="1">
      <c r="A433" s="5">
        <v>499.0</v>
      </c>
      <c r="B433" s="6">
        <v>251224.0</v>
      </c>
      <c r="C433" s="4"/>
      <c r="D433" s="7" t="s">
        <v>793</v>
      </c>
      <c r="E433" s="8" t="str">
        <f>IFERROR(__xludf.DUMMYFUNCTION("IF(
  LEN(TRIM(D433))=0,
  ""왼쪽에 영어 문장을 입력하세요"",
  GOOGLETRANSLATE(D433,""en"",""ko"")
)"),"서약하기")</f>
        <v>서약하기</v>
      </c>
      <c r="F433" s="9" t="s">
        <v>794</v>
      </c>
    </row>
    <row r="434" ht="20.25" customHeight="1">
      <c r="A434" s="5">
        <v>500.0</v>
      </c>
      <c r="B434" s="6">
        <v>251224.0</v>
      </c>
      <c r="C434" s="4"/>
      <c r="D434" s="7" t="s">
        <v>795</v>
      </c>
      <c r="E434" s="8" t="str">
        <f>IFERROR(__xludf.DUMMYFUNCTION("IF(
  LEN(TRIM(D434))=0,
  ""왼쪽에 영어 문장을 입력하세요"",
  GOOGLETRANSLATE(D434,""en"",""ko"")
)"),"다양화하다")</f>
        <v>다양화하다</v>
      </c>
      <c r="F434" s="9" t="s">
        <v>796</v>
      </c>
    </row>
    <row r="435" ht="20.25" customHeight="1">
      <c r="A435" s="5">
        <v>501.0</v>
      </c>
      <c r="B435" s="6">
        <v>251224.0</v>
      </c>
      <c r="C435" s="4"/>
      <c r="D435" s="7" t="s">
        <v>797</v>
      </c>
      <c r="E435" s="8" t="str">
        <f>IFERROR(__xludf.DUMMYFUNCTION("IF(
  LEN(TRIM(D435))=0,
  ""왼쪽에 영어 문장을 입력하세요"",
  GOOGLETRANSLATE(D435,""en"",""ko"")
)"),"톤업")</f>
        <v>톤업</v>
      </c>
      <c r="F435" s="9" t="s">
        <v>798</v>
      </c>
    </row>
    <row r="436" ht="20.25" customHeight="1">
      <c r="A436" s="5">
        <v>502.0</v>
      </c>
      <c r="B436" s="6">
        <v>251224.0</v>
      </c>
      <c r="C436" s="4"/>
      <c r="D436" s="7" t="s">
        <v>799</v>
      </c>
      <c r="E436" s="8" t="str">
        <f>IFERROR(__xludf.DUMMYFUNCTION("IF(
  LEN(TRIM(D436))=0,
  ""왼쪽에 영어 문장을 입력하세요"",
  GOOGLETRANSLATE(D436,""en"",""ko"")
)"),"연약한")</f>
        <v>연약한</v>
      </c>
      <c r="F436" s="9" t="s">
        <v>800</v>
      </c>
    </row>
    <row r="437" ht="20.25" customHeight="1">
      <c r="A437" s="5">
        <v>503.0</v>
      </c>
      <c r="B437" s="6">
        <v>251224.0</v>
      </c>
      <c r="C437" s="4"/>
      <c r="D437" s="7" t="s">
        <v>801</v>
      </c>
      <c r="E437" s="8" t="str">
        <f>IFERROR(__xludf.DUMMYFUNCTION("IF(
  LEN(TRIM(D437))=0,
  ""왼쪽에 영어 문장을 입력하세요"",
  GOOGLETRANSLATE(D437,""en"",""ko"")
)"),"몸매가 정말 탄탄해 보이네요.")</f>
        <v>몸매가 정말 탄탄해 보이네요.</v>
      </c>
      <c r="F437" s="9" t="s">
        <v>802</v>
      </c>
    </row>
    <row r="438" ht="20.25" customHeight="1">
      <c r="A438" s="5">
        <v>504.0</v>
      </c>
      <c r="B438" s="6">
        <v>251224.0</v>
      </c>
      <c r="C438" s="4"/>
      <c r="D438" s="7" t="s">
        <v>803</v>
      </c>
      <c r="E438" s="8" t="str">
        <f>IFERROR(__xludf.DUMMYFUNCTION("IF(
  LEN(TRIM(D438))=0,
  ""왼쪽에 영어 문장을 입력하세요"",
  GOOGLETRANSLATE(D438,""en"",""ko"")
)"),"결론적으로 말하자면")</f>
        <v>결론적으로 말하자면</v>
      </c>
      <c r="F438" s="9" t="s">
        <v>804</v>
      </c>
    </row>
    <row r="439" ht="20.25" customHeight="1">
      <c r="A439" s="5">
        <v>505.0</v>
      </c>
      <c r="B439" s="6">
        <v>251224.0</v>
      </c>
      <c r="C439" s="4"/>
      <c r="D439" s="7" t="s">
        <v>805</v>
      </c>
      <c r="E439" s="8" t="str">
        <f>IFERROR(__xludf.DUMMYFUNCTION("IF(
  LEN(TRIM(D439))=0,
  ""왼쪽에 영어 문장을 입력하세요"",
  GOOGLETRANSLATE(D439,""en"",""ko"")
)"),"결국 당신의 헌신에 달려있습니다.")</f>
        <v>결국 당신의 헌신에 달려있습니다.</v>
      </c>
      <c r="F439" s="9" t="s">
        <v>806</v>
      </c>
    </row>
    <row r="440" ht="20.25" customHeight="1">
      <c r="A440" s="5">
        <v>506.0</v>
      </c>
      <c r="B440" s="6">
        <v>251224.0</v>
      </c>
      <c r="C440" s="4"/>
      <c r="D440" s="7" t="s">
        <v>807</v>
      </c>
      <c r="E440" s="8" t="str">
        <f>IFERROR(__xludf.DUMMYFUNCTION("IF(
  LEN(TRIM(D440))=0,
  ""왼쪽에 영어 문장을 입력하세요"",
  GOOGLETRANSLATE(D440,""en"",""ko"")
)"),"~에 큰 영향을 미치다")</f>
        <v>~에 큰 영향을 미치다</v>
      </c>
      <c r="F440" s="9" t="s">
        <v>808</v>
      </c>
    </row>
    <row r="441" ht="20.25" customHeight="1">
      <c r="A441" s="5">
        <v>507.0</v>
      </c>
      <c r="B441" s="6">
        <v>251224.0</v>
      </c>
      <c r="C441" s="4"/>
      <c r="D441" s="7" t="s">
        <v>809</v>
      </c>
      <c r="E441" s="8" t="str">
        <f>IFERROR(__xludf.DUMMYFUNCTION("IF(
  LEN(TRIM(D441))=0,
  ""왼쪽에 영어 문장을 입력하세요"",
  GOOGLETRANSLATE(D441,""en"",""ko"")
)"),"달리기처럼 무릎에 무리가 간다")</f>
        <v>달리기처럼 무릎에 무리가 간다</v>
      </c>
      <c r="F441" s="9" t="s">
        <v>810</v>
      </c>
    </row>
    <row r="442" ht="20.25" customHeight="1">
      <c r="A442" s="5">
        <v>508.0</v>
      </c>
      <c r="B442" s="6">
        <v>251224.0</v>
      </c>
      <c r="C442" s="4"/>
      <c r="D442" s="7" t="s">
        <v>811</v>
      </c>
      <c r="E442" s="8" t="str">
        <f>IFERROR(__xludf.DUMMYFUNCTION("IF(
  LEN(TRIM(D442))=0,
  ""왼쪽에 영어 문장을 입력하세요"",
  GOOGLETRANSLATE(D442,""en"",""ko"")
)"),"크랭크업")</f>
        <v>크랭크업</v>
      </c>
      <c r="F442" s="9" t="s">
        <v>812</v>
      </c>
    </row>
    <row r="443" ht="20.25" customHeight="1">
      <c r="A443" s="5">
        <v>509.0</v>
      </c>
      <c r="B443" s="6">
        <v>251224.0</v>
      </c>
      <c r="C443" s="4"/>
      <c r="D443" s="7" t="s">
        <v>813</v>
      </c>
      <c r="E443" s="8" t="str">
        <f>IFERROR(__xludf.DUMMYFUNCTION("IF(
  LEN(TRIM(D443))=0,
  ""왼쪽에 영어 문장을 입력하세요"",
  GOOGLETRANSLATE(D443,""en"",""ko"")
)"),"음악 볼륨을 높여봐, 비틀즈잖아!")</f>
        <v>음악 볼륨을 높여봐, 비틀즈잖아!</v>
      </c>
      <c r="F443" s="9" t="s">
        <v>814</v>
      </c>
    </row>
    <row r="444" ht="20.25" customHeight="1">
      <c r="A444" s="5">
        <v>510.0</v>
      </c>
      <c r="B444" s="6">
        <v>251224.0</v>
      </c>
      <c r="C444" s="4"/>
      <c r="D444" s="7" t="s">
        <v>815</v>
      </c>
      <c r="E444" s="8" t="str">
        <f>IFERROR(__xludf.DUMMYFUNCTION("IF(
  LEN(TRIM(D444))=0,
  ""왼쪽에 영어 문장을 입력하세요"",
  GOOGLETRANSLATE(D444,""en"",""ko"")
)"),"반항적인")</f>
        <v>반항적인</v>
      </c>
      <c r="F444" s="9" t="s">
        <v>816</v>
      </c>
    </row>
    <row r="445" ht="20.25" customHeight="1">
      <c r="A445" s="5">
        <v>511.0</v>
      </c>
      <c r="B445" s="6">
        <v>251224.0</v>
      </c>
      <c r="C445" s="4"/>
      <c r="D445" s="7" t="s">
        <v>817</v>
      </c>
      <c r="E445" s="8" t="str">
        <f>IFERROR(__xludf.DUMMYFUNCTION("IF(
  LEN(TRIM(D445))=0,
  ""왼쪽에 영어 문장을 입력하세요"",
  GOOGLETRANSLATE(D445,""en"",""ko"")
)"),"도전")</f>
        <v>도전</v>
      </c>
      <c r="F445" s="9" t="s">
        <v>818</v>
      </c>
    </row>
    <row r="446" ht="20.25" customHeight="1">
      <c r="A446" s="5">
        <v>512.0</v>
      </c>
      <c r="B446" s="6">
        <v>251224.0</v>
      </c>
      <c r="C446" s="4"/>
      <c r="D446" s="7" t="s">
        <v>819</v>
      </c>
      <c r="E446" s="8" t="str">
        <f>IFERROR(__xludf.DUMMYFUNCTION("IF(
  LEN(TRIM(D446))=0,
  ""왼쪽에 영어 문장을 입력하세요"",
  GOOGLETRANSLATE(D446,""en"",""ko"")
)"),"법령")</f>
        <v>법령</v>
      </c>
      <c r="F446" s="9" t="s">
        <v>820</v>
      </c>
    </row>
    <row r="447" ht="20.25" customHeight="1">
      <c r="A447" s="5">
        <v>513.0</v>
      </c>
      <c r="B447" s="6">
        <v>251224.0</v>
      </c>
      <c r="C447" s="4"/>
      <c r="D447" s="7" t="s">
        <v>821</v>
      </c>
      <c r="E447" s="8" t="str">
        <f>IFERROR(__xludf.DUMMYFUNCTION("IF(
  LEN(TRIM(D447))=0,
  ""왼쪽에 영어 문장을 입력하세요"",
  GOOGLETRANSLATE(D447,""en"",""ko"")
)"),"요즘 기침을 많이 하시네요.")</f>
        <v>요즘 기침을 많이 하시네요.</v>
      </c>
      <c r="F447" s="9" t="s">
        <v>822</v>
      </c>
    </row>
    <row r="448" ht="20.25" customHeight="1">
      <c r="A448" s="5">
        <v>514.0</v>
      </c>
      <c r="B448" s="6">
        <v>251224.0</v>
      </c>
      <c r="C448" s="4"/>
      <c r="D448" s="7" t="s">
        <v>823</v>
      </c>
      <c r="E448" s="8" t="str">
        <f>IFERROR(__xludf.DUMMYFUNCTION("IF(
  LEN(TRIM(D448))=0,
  ""왼쪽에 영어 문장을 입력하세요"",
  GOOGLETRANSLATE(D448,""en"",""ko"")
)"),"의사 진료받으셨나요?")</f>
        <v>의사 진료받으셨나요?</v>
      </c>
      <c r="F448" s="9" t="s">
        <v>824</v>
      </c>
    </row>
    <row r="449" ht="20.25" customHeight="1">
      <c r="A449" s="5">
        <v>515.0</v>
      </c>
      <c r="B449" s="6">
        <v>251224.0</v>
      </c>
      <c r="C449" s="4"/>
      <c r="D449" s="7" t="s">
        <v>825</v>
      </c>
      <c r="E449" s="8" t="str">
        <f>IFERROR(__xludf.DUMMYFUNCTION("IF(
  LEN(TRIM(D449))=0,
  ""왼쪽에 영어 문장을 입력하세요"",
  GOOGLETRANSLATE(D449,""en"",""ko"")
)"),"그는 오랜 흡연이 내 폐에 악영향을 미쳤다고 말했다.")</f>
        <v>그는 오랜 흡연이 내 폐에 악영향을 미쳤다고 말했다.</v>
      </c>
      <c r="F449" s="9" t="s">
        <v>826</v>
      </c>
    </row>
    <row r="450" ht="20.25" customHeight="1">
      <c r="A450" s="5">
        <v>516.0</v>
      </c>
      <c r="B450" s="6">
        <v>251224.0</v>
      </c>
      <c r="C450" s="4"/>
      <c r="D450" s="7" t="s">
        <v>827</v>
      </c>
      <c r="E450" s="8" t="str">
        <f>IFERROR(__xludf.DUMMYFUNCTION("IF(
  LEN(TRIM(D450))=0,
  ""왼쪽에 영어 문장을 입력하세요"",
  GOOGLETRANSLATE(D450,""en"",""ko"")
)"),"자책감")</f>
        <v>자책감</v>
      </c>
      <c r="F450" s="9" t="s">
        <v>828</v>
      </c>
    </row>
    <row r="451" ht="20.25" customHeight="1">
      <c r="A451" s="5">
        <v>517.0</v>
      </c>
      <c r="B451" s="6">
        <v>251224.0</v>
      </c>
      <c r="C451" s="4"/>
      <c r="D451" s="7" t="s">
        <v>829</v>
      </c>
      <c r="E451" s="8" t="str">
        <f>IFERROR(__xludf.DUMMYFUNCTION("IF(
  LEN(TRIM(D451))=0,
  ""왼쪽에 영어 문장을 입력하세요"",
  GOOGLETRANSLATE(D451,""en"",""ko"")
)"),"반란")</f>
        <v>반란</v>
      </c>
      <c r="F451" s="9" t="s">
        <v>830</v>
      </c>
    </row>
    <row r="452" ht="20.25" customHeight="1">
      <c r="A452" s="5">
        <v>518.0</v>
      </c>
      <c r="B452" s="6">
        <v>251224.0</v>
      </c>
      <c r="C452" s="4"/>
      <c r="D452" s="7" t="s">
        <v>831</v>
      </c>
      <c r="E452" s="8" t="str">
        <f>IFERROR(__xludf.DUMMYFUNCTION("IF(
  LEN(TRIM(D452))=0,
  ""왼쪽에 영어 문장을 입력하세요"",
  GOOGLETRANSLATE(D452,""en"",""ko"")
)"),"뉘우치는")</f>
        <v>뉘우치는</v>
      </c>
      <c r="F452" s="9" t="s">
        <v>832</v>
      </c>
    </row>
    <row r="453" ht="20.25" customHeight="1">
      <c r="A453" s="5">
        <v>519.0</v>
      </c>
      <c r="B453" s="6">
        <v>251224.0</v>
      </c>
      <c r="C453" s="4"/>
      <c r="D453" s="7" t="s">
        <v>833</v>
      </c>
      <c r="E453" s="8" t="str">
        <f>IFERROR(__xludf.DUMMYFUNCTION("IF(
  LEN(TRIM(D453))=0,
  ""왼쪽에 영어 문장을 입력하세요"",
  GOOGLETRANSLATE(D453,""en"",""ko"")
)"),"험한")</f>
        <v>험한</v>
      </c>
      <c r="F453" s="9" t="s">
        <v>834</v>
      </c>
    </row>
    <row r="454" ht="20.25" customHeight="1">
      <c r="A454" s="5">
        <v>520.0</v>
      </c>
      <c r="B454" s="6">
        <v>251224.0</v>
      </c>
      <c r="C454" s="4"/>
      <c r="D454" s="7" t="s">
        <v>835</v>
      </c>
      <c r="E454" s="8" t="str">
        <f>IFERROR(__xludf.DUMMYFUNCTION("IF(
  LEN(TRIM(D454))=0,
  ""왼쪽에 영어 문장을 입력하세요"",
  GOOGLETRANSLATE(D454,""en"",""ko"")
)"),"학습 곡선은 그다지 가파르지 않았습니다.")</f>
        <v>학습 곡선은 그다지 가파르지 않았습니다.</v>
      </c>
      <c r="F454" s="9" t="s">
        <v>836</v>
      </c>
    </row>
    <row r="455" ht="20.25" customHeight="1">
      <c r="A455" s="5">
        <v>521.0</v>
      </c>
      <c r="B455" s="6">
        <v>251224.0</v>
      </c>
      <c r="C455" s="4"/>
      <c r="D455" s="7" t="s">
        <v>837</v>
      </c>
      <c r="E455" s="8" t="str">
        <f>IFERROR(__xludf.DUMMYFUNCTION("IF(
  LEN(TRIM(D455))=0,
  ""왼쪽에 영어 문장을 입력하세요"",
  GOOGLETRANSLATE(D455,""en"",""ko"")
)"),"해안")</f>
        <v>해안</v>
      </c>
      <c r="F455" s="9" t="s">
        <v>838</v>
      </c>
    </row>
    <row r="456" ht="20.25" customHeight="1">
      <c r="A456" s="5">
        <v>522.0</v>
      </c>
      <c r="B456" s="6">
        <v>251224.0</v>
      </c>
      <c r="C456" s="4"/>
      <c r="D456" s="7" t="s">
        <v>839</v>
      </c>
      <c r="E456" s="8" t="str">
        <f>IFERROR(__xludf.DUMMYFUNCTION("IF(
  LEN(TRIM(D456))=0,
  ""왼쪽에 영어 문장을 입력하세요"",
  GOOGLETRANSLATE(D456,""en"",""ko"")
)"),"주말까지 여유롭게 지내기")</f>
        <v>주말까지 여유롭게 지내기</v>
      </c>
      <c r="F456" s="9" t="s">
        <v>840</v>
      </c>
    </row>
    <row r="457" ht="20.25" customHeight="1">
      <c r="A457" s="5">
        <v>523.0</v>
      </c>
      <c r="B457" s="6">
        <v>251224.0</v>
      </c>
      <c r="C457" s="4"/>
      <c r="D457" s="7" t="s">
        <v>841</v>
      </c>
      <c r="E457" s="8" t="str">
        <f>IFERROR(__xludf.DUMMYFUNCTION("IF(
  LEN(TRIM(D457))=0,
  ""왼쪽에 영어 문장을 입력하세요"",
  GOOGLETRANSLATE(D457,""en"",""ko"")
)"),"관성에 휩쓸려 내려가지 마세요.")</f>
        <v>관성에 휩쓸려 내려가지 마세요.</v>
      </c>
      <c r="F457" s="9" t="s">
        <v>842</v>
      </c>
    </row>
    <row r="458" ht="20.25" customHeight="1">
      <c r="A458" s="5">
        <v>524.0</v>
      </c>
      <c r="B458" s="6">
        <v>251224.0</v>
      </c>
      <c r="C458" s="4"/>
      <c r="D458" s="7" t="s">
        <v>843</v>
      </c>
      <c r="E458" s="8" t="str">
        <f>IFERROR(__xludf.DUMMYFUNCTION("IF(
  LEN(TRIM(D458))=0,
  ""왼쪽에 영어 문장을 입력하세요"",
  GOOGLETRANSLATE(D458,""en"",""ko"")
)"),"콜드콜")</f>
        <v>콜드콜</v>
      </c>
      <c r="F458" s="9" t="s">
        <v>844</v>
      </c>
    </row>
    <row r="459" ht="20.25" customHeight="1">
      <c r="A459" s="5">
        <v>525.0</v>
      </c>
      <c r="B459" s="6">
        <v>251224.0</v>
      </c>
      <c r="C459" s="4"/>
      <c r="D459" s="7" t="s">
        <v>845</v>
      </c>
      <c r="E459" s="8" t="str">
        <f>IFERROR(__xludf.DUMMYFUNCTION("IF(
  LEN(TRIM(D459))=0,
  ""왼쪽에 영어 문장을 입력하세요"",
  GOOGLETRANSLATE(D459,""en"",""ko"")
)"),"웨이터 테이블 사용법은 배우기가 그리 어렵지 않습니다.")</f>
        <v>웨이터 테이블 사용법은 배우기가 그리 어렵지 않습니다.</v>
      </c>
      <c r="F459" s="9" t="s">
        <v>846</v>
      </c>
    </row>
    <row r="460" ht="20.25" customHeight="1">
      <c r="A460" s="5">
        <v>526.0</v>
      </c>
      <c r="B460" s="6">
        <v>251224.0</v>
      </c>
      <c r="C460" s="4"/>
      <c r="D460" s="7" t="s">
        <v>847</v>
      </c>
      <c r="E460" s="8" t="str">
        <f>IFERROR(__xludf.DUMMYFUNCTION("IF(
  LEN(TRIM(D460))=0,
  ""왼쪽에 영어 문장을 입력하세요"",
  GOOGLETRANSLATE(D460,""en"",""ko"")
)"),"누군가에게 요령을 가르쳐 주세요")</f>
        <v>누군가에게 요령을 가르쳐 주세요</v>
      </c>
      <c r="F460" s="9" t="s">
        <v>848</v>
      </c>
    </row>
    <row r="461" ht="20.25" customHeight="1">
      <c r="A461" s="5">
        <v>527.0</v>
      </c>
      <c r="B461" s="6">
        <v>251224.0</v>
      </c>
      <c r="C461" s="4"/>
      <c r="D461" s="7" t="s">
        <v>849</v>
      </c>
      <c r="E461" s="8" t="str">
        <f>IFERROR(__xludf.DUMMYFUNCTION("IF(
  LEN(TRIM(D461))=0,
  ""왼쪽에 영어 문장을 입력하세요"",
  GOOGLETRANSLATE(D461,""en"",""ko"")
)"),"수중 용접")</f>
        <v>수중 용접</v>
      </c>
      <c r="F461" s="9" t="s">
        <v>850</v>
      </c>
    </row>
    <row r="462" ht="20.25" customHeight="1">
      <c r="A462" s="5">
        <v>528.0</v>
      </c>
      <c r="B462" s="6">
        <v>251224.0</v>
      </c>
      <c r="C462" s="4"/>
      <c r="D462" s="7" t="s">
        <v>851</v>
      </c>
      <c r="E462" s="8" t="str">
        <f>IFERROR(__xludf.DUMMYFUNCTION("IF(
  LEN(TRIM(D462))=0,
  ""왼쪽에 영어 문장을 입력하세요"",
  GOOGLETRANSLATE(D462,""en"",""ko"")
)"),"편식")</f>
        <v>편식</v>
      </c>
      <c r="F462" s="9" t="s">
        <v>852</v>
      </c>
    </row>
    <row r="463" ht="20.25" customHeight="1">
      <c r="A463" s="5">
        <v>529.0</v>
      </c>
      <c r="B463" s="6">
        <v>251224.0</v>
      </c>
      <c r="C463" s="4"/>
      <c r="D463" s="7" t="s">
        <v>853</v>
      </c>
      <c r="E463" s="8" t="str">
        <f>IFERROR(__xludf.DUMMYFUNCTION("IF(
  LEN(TRIM(D463))=0,
  ""왼쪽에 영어 문장을 입력하세요"",
  GOOGLETRANSLATE(D463,""en"",""ko"")
)"),"발산하다")</f>
        <v>발산하다</v>
      </c>
      <c r="F463" s="9" t="s">
        <v>854</v>
      </c>
    </row>
    <row r="464" ht="20.25" customHeight="1">
      <c r="A464" s="5">
        <v>530.0</v>
      </c>
      <c r="B464" s="6">
        <v>251224.0</v>
      </c>
      <c r="C464" s="4"/>
      <c r="D464" s="7" t="s">
        <v>855</v>
      </c>
      <c r="E464" s="8" t="str">
        <f>IFERROR(__xludf.DUMMYFUNCTION("IF(
  LEN(TRIM(D464))=0,
  ""왼쪽에 영어 문장을 입력하세요"",
  GOOGLETRANSLATE(D464,""en"",""ko"")
)"),"~에 문질러져")</f>
        <v>~에 문질러져</v>
      </c>
      <c r="F464" s="9" t="s">
        <v>856</v>
      </c>
    </row>
    <row r="465" ht="20.25" customHeight="1">
      <c r="A465" s="5">
        <v>531.0</v>
      </c>
      <c r="B465" s="6">
        <v>251224.0</v>
      </c>
      <c r="C465" s="4"/>
      <c r="D465" s="7" t="s">
        <v>857</v>
      </c>
      <c r="E465" s="8" t="str">
        <f>IFERROR(__xludf.DUMMYFUNCTION("IF(
  LEN(TRIM(D465))=0,
  ""왼쪽에 영어 문장을 입력하세요"",
  GOOGLETRANSLATE(D465,""en"",""ko"")
)"),"편식은 유전적 특성일 수 있습니다.")</f>
        <v>편식은 유전적 특성일 수 있습니다.</v>
      </c>
      <c r="F465" s="9" t="s">
        <v>858</v>
      </c>
    </row>
    <row r="466" ht="20.25" customHeight="1">
      <c r="A466" s="5">
        <v>532.0</v>
      </c>
      <c r="B466" s="6">
        <v>251224.0</v>
      </c>
      <c r="C466" s="4"/>
      <c r="D466" s="7" t="s">
        <v>859</v>
      </c>
      <c r="E466" s="8" t="str">
        <f>IFERROR(__xludf.DUMMYFUNCTION("IF(
  LEN(TRIM(D466))=0,
  ""왼쪽에 영어 문장을 입력하세요"",
  GOOGLETRANSLATE(D466,""en"",""ko"")
)"),"결과에 따르면 고객들은 빨간색보다 파란색을 더 선호하는 것으로 나타났습니다.")</f>
        <v>결과에 따르면 고객들은 빨간색보다 파란색을 더 선호하는 것으로 나타났습니다.</v>
      </c>
      <c r="F466" s="9" t="s">
        <v>860</v>
      </c>
    </row>
    <row r="467" ht="20.25" customHeight="1">
      <c r="A467" s="5">
        <v>533.0</v>
      </c>
      <c r="B467" s="6">
        <v>251224.0</v>
      </c>
      <c r="C467" s="4"/>
      <c r="D467" s="7" t="s">
        <v>861</v>
      </c>
      <c r="E467" s="8" t="str">
        <f>IFERROR(__xludf.DUMMYFUNCTION("IF(
  LEN(TRIM(D467))=0,
  ""왼쪽에 영어 문장을 입력하세요"",
  GOOGLETRANSLATE(D467,""en"",""ko"")
)"),"당신은 당신과 가장 가까운 다섯 사람의 평균입니다.")</f>
        <v>당신은 당신과 가장 가까운 다섯 사람의 평균입니다.</v>
      </c>
      <c r="F467" s="9" t="s">
        <v>862</v>
      </c>
    </row>
    <row r="468" ht="20.25" customHeight="1">
      <c r="A468" s="5">
        <v>534.0</v>
      </c>
      <c r="B468" s="6">
        <v>251224.0</v>
      </c>
      <c r="C468" s="4"/>
      <c r="D468" s="7" t="s">
        <v>863</v>
      </c>
      <c r="E468" s="8" t="str">
        <f>IFERROR(__xludf.DUMMYFUNCTION("IF(
  LEN(TRIM(D468))=0,
  ""왼쪽에 영어 문장을 입력하세요"",
  GOOGLETRANSLATE(D468,""en"",""ko"")
)"),"반박하기")</f>
        <v>반박하기</v>
      </c>
      <c r="F468" s="9" t="s">
        <v>864</v>
      </c>
    </row>
    <row r="469" ht="20.25" customHeight="1">
      <c r="A469" s="5">
        <v>535.0</v>
      </c>
      <c r="B469" s="6">
        <v>251224.0</v>
      </c>
      <c r="C469" s="4"/>
      <c r="D469" s="7" t="s">
        <v>865</v>
      </c>
      <c r="E469" s="8" t="str">
        <f>IFERROR(__xludf.DUMMYFUNCTION("IF(
  LEN(TRIM(D469))=0,
  ""왼쪽에 영어 문장을 입력하세요"",
  GOOGLETRANSLATE(D469,""en"",""ko"")
)"),"청년기")</f>
        <v>청년기</v>
      </c>
      <c r="F469" s="9" t="s">
        <v>866</v>
      </c>
    </row>
    <row r="470" ht="20.25" customHeight="1">
      <c r="A470" s="5">
        <v>536.0</v>
      </c>
      <c r="B470" s="6">
        <v>251224.0</v>
      </c>
      <c r="C470" s="4"/>
      <c r="D470" s="7" t="s">
        <v>867</v>
      </c>
      <c r="E470" s="8" t="str">
        <f>IFERROR(__xludf.DUMMYFUNCTION("IF(
  LEN(TRIM(D470))=0,
  ""왼쪽에 영어 문장을 입력하세요"",
  GOOGLETRANSLATE(D470,""en"",""ko"")
)"),"버리다 ")</f>
        <v>버리다 </v>
      </c>
      <c r="F470" s="9" t="s">
        <v>868</v>
      </c>
    </row>
    <row r="471" ht="20.25" customHeight="1">
      <c r="A471" s="5">
        <v>537.0</v>
      </c>
      <c r="B471" s="6">
        <v>251224.0</v>
      </c>
      <c r="C471" s="4"/>
      <c r="D471" s="7" t="s">
        <v>869</v>
      </c>
      <c r="E471" s="8" t="str">
        <f>IFERROR(__xludf.DUMMYFUNCTION("IF(
  LEN(TRIM(D471))=0,
  ""왼쪽에 영어 문장을 입력하세요"",
  GOOGLETRANSLATE(D471,""en"",""ko"")
)"),"독주회")</f>
        <v>독주회</v>
      </c>
      <c r="F471" s="9" t="s">
        <v>870</v>
      </c>
    </row>
    <row r="472" ht="20.25" customHeight="1">
      <c r="A472" s="5">
        <v>538.0</v>
      </c>
      <c r="B472" s="6">
        <v>251224.0</v>
      </c>
      <c r="C472" s="4"/>
      <c r="D472" s="7" t="s">
        <v>871</v>
      </c>
      <c r="E472" s="8" t="str">
        <f>IFERROR(__xludf.DUMMYFUNCTION("IF(
  LEN(TRIM(D472))=0,
  ""왼쪽에 영어 문장을 입력하세요"",
  GOOGLETRANSLATE(D472,""en"",""ko"")
)"),"독실한")</f>
        <v>독실한</v>
      </c>
      <c r="F472" s="9" t="s">
        <v>872</v>
      </c>
    </row>
    <row r="473" ht="20.25" customHeight="1">
      <c r="A473" s="5">
        <v>539.0</v>
      </c>
      <c r="B473" s="6">
        <v>251224.0</v>
      </c>
      <c r="C473" s="4"/>
      <c r="D473" s="7" t="s">
        <v>873</v>
      </c>
      <c r="E473" s="8" t="str">
        <f>IFERROR(__xludf.DUMMYFUNCTION("IF(
  LEN(TRIM(D473))=0,
  ""왼쪽에 영어 문장을 입력하세요"",
  GOOGLETRANSLATE(D473,""en"",""ko"")
)"),"바흐의 경건한 음악")</f>
        <v>바흐의 경건한 음악</v>
      </c>
      <c r="F473" s="9" t="s">
        <v>874</v>
      </c>
    </row>
    <row r="474" ht="20.25" customHeight="1">
      <c r="A474" s="5">
        <v>540.0</v>
      </c>
      <c r="B474" s="6">
        <v>251224.0</v>
      </c>
      <c r="C474" s="4"/>
      <c r="D474" s="7" t="s">
        <v>875</v>
      </c>
      <c r="E474" s="8" t="str">
        <f>IFERROR(__xludf.DUMMYFUNCTION("IF(
  LEN(TRIM(D474))=0,
  ""왼쪽에 영어 문장을 입력하세요"",
  GOOGLETRANSLATE(D474,""en"",""ko"")
)"),"정통")</f>
        <v>정통</v>
      </c>
      <c r="F474" s="9" t="s">
        <v>876</v>
      </c>
    </row>
    <row r="475" ht="20.25" customHeight="1">
      <c r="A475" s="5">
        <v>541.0</v>
      </c>
      <c r="B475" s="6">
        <v>251224.0</v>
      </c>
      <c r="C475" s="4"/>
      <c r="D475" s="7" t="s">
        <v>877</v>
      </c>
      <c r="E475" s="8" t="str">
        <f>IFERROR(__xludf.DUMMYFUNCTION("IF(
  LEN(TRIM(D475))=0,
  ""왼쪽에 영어 문장을 입력하세요"",
  GOOGLETRANSLATE(D475,""en"",""ko"")
)"),"팀은 학교에서 선생님들께 대들고 있습니다.")</f>
        <v>팀은 학교에서 선생님들께 대들고 있습니다.</v>
      </c>
      <c r="F475" s="9" t="s">
        <v>878</v>
      </c>
    </row>
    <row r="476" ht="20.25" customHeight="1">
      <c r="A476" s="5">
        <v>542.0</v>
      </c>
      <c r="B476" s="6">
        <v>251224.0</v>
      </c>
      <c r="C476" s="4"/>
      <c r="D476" s="7" t="s">
        <v>879</v>
      </c>
      <c r="E476" s="8" t="str">
        <f>IFERROR(__xludf.DUMMYFUNCTION("IF(
  LEN(TRIM(D476))=0,
  ""왼쪽에 영어 문장을 입력하세요"",
  GOOGLETRANSLATE(D476,""en"",""ko"")
)"),"제 생각엔 반에 새로 온 아이가 그에게 영향을 주고 있는 것 같아요.")</f>
        <v>제 생각엔 반에 새로 온 아이가 그에게 영향을 주고 있는 것 같아요.</v>
      </c>
      <c r="F476" s="9" t="s">
        <v>880</v>
      </c>
    </row>
    <row r="477" ht="20.25" customHeight="1">
      <c r="A477" s="5">
        <v>543.0</v>
      </c>
      <c r="B477" s="6">
        <v>251224.0</v>
      </c>
      <c r="C477" s="4"/>
      <c r="D477" s="7" t="s">
        <v>881</v>
      </c>
      <c r="E477" s="8" t="str">
        <f>IFERROR(__xludf.DUMMYFUNCTION("IF(
  LEN(TRIM(D477))=0,
  ""왼쪽에 영어 문장을 입력하세요"",
  GOOGLETRANSLATE(D477,""en"",""ko"")
)"),"나는 그의 의견이 마음에 들지 않았지만, 그의 환심을 사기로 마음먹었다.")</f>
        <v>나는 그의 의견이 마음에 들지 않았지만, 그의 환심을 사기로 마음먹었다.</v>
      </c>
      <c r="F477" s="9" t="s">
        <v>882</v>
      </c>
    </row>
    <row r="478" ht="20.25" customHeight="1">
      <c r="A478" s="5">
        <v>544.0</v>
      </c>
      <c r="B478" s="6">
        <v>251224.0</v>
      </c>
      <c r="C478" s="4"/>
      <c r="D478" s="7" t="s">
        <v>883</v>
      </c>
      <c r="E478" s="8" t="str">
        <f>IFERROR(__xludf.DUMMYFUNCTION("IF(
  LEN(TRIM(D478))=0,
  ""왼쪽에 영어 문장을 입력하세요"",
  GOOGLETRANSLATE(D478,""en"",""ko"")
)"),"~로 물든")</f>
        <v>~로 물든</v>
      </c>
      <c r="F478" s="9" t="s">
        <v>884</v>
      </c>
    </row>
    <row r="479" ht="20.25" customHeight="1">
      <c r="A479" s="5">
        <v>545.0</v>
      </c>
      <c r="B479" s="6">
        <v>251224.0</v>
      </c>
      <c r="C479" s="4"/>
      <c r="D479" s="7" t="s">
        <v>885</v>
      </c>
      <c r="E479" s="8" t="str">
        <f>IFERROR(__xludf.DUMMYFUNCTION("IF(
  LEN(TRIM(D479))=0,
  ""왼쪽에 영어 문장을 입력하세요"",
  GOOGLETRANSLATE(D479,""en"",""ko"")
)"),"열렬한")</f>
        <v>열렬한</v>
      </c>
      <c r="F479" s="9" t="s">
        <v>886</v>
      </c>
    </row>
    <row r="480" ht="20.25" customHeight="1">
      <c r="A480" s="5">
        <v>546.0</v>
      </c>
      <c r="B480" s="6">
        <v>251224.0</v>
      </c>
      <c r="C480" s="4"/>
      <c r="D480" s="7" t="s">
        <v>887</v>
      </c>
      <c r="E480" s="8" t="str">
        <f>IFERROR(__xludf.DUMMYFUNCTION("IF(
  LEN(TRIM(D480))=0,
  ""왼쪽에 영어 문장을 입력하세요"",
  GOOGLETRANSLATE(D480,""en"",""ko"")
)"),"도덕적 나침반")</f>
        <v>도덕적 나침반</v>
      </c>
      <c r="F480" s="9" t="s">
        <v>888</v>
      </c>
    </row>
    <row r="481" ht="20.25" customHeight="1">
      <c r="A481" s="5">
        <v>547.0</v>
      </c>
      <c r="B481" s="6">
        <v>251224.0</v>
      </c>
      <c r="C481" s="4"/>
      <c r="D481" s="7" t="s">
        <v>889</v>
      </c>
      <c r="E481" s="8" t="str">
        <f>IFERROR(__xludf.DUMMYFUNCTION("IF(
  LEN(TRIM(D481))=0,
  ""왼쪽에 영어 문장을 입력하세요"",
  GOOGLETRANSLATE(D481,""en"",""ko"")
)"),"비슷한")</f>
        <v>비슷한</v>
      </c>
      <c r="F481" s="9" t="s">
        <v>890</v>
      </c>
    </row>
    <row r="482" ht="20.25" customHeight="1">
      <c r="A482" s="5">
        <v>548.0</v>
      </c>
      <c r="B482" s="6">
        <v>251224.0</v>
      </c>
      <c r="C482" s="4"/>
      <c r="D482" s="7" t="s">
        <v>891</v>
      </c>
      <c r="E482" s="8" t="str">
        <f>IFERROR(__xludf.DUMMYFUNCTION("IF(
  LEN(TRIM(D482))=0,
  ""왼쪽에 영어 문장을 입력하세요"",
  GOOGLETRANSLATE(D482,""en"",""ko"")
)"),"단식")</f>
        <v>단식</v>
      </c>
      <c r="F482" s="9" t="s">
        <v>892</v>
      </c>
    </row>
    <row r="483" ht="20.25" customHeight="1">
      <c r="A483" s="5">
        <v>549.0</v>
      </c>
      <c r="B483" s="6">
        <v>251224.0</v>
      </c>
      <c r="C483" s="4"/>
      <c r="D483" s="7" t="s">
        <v>893</v>
      </c>
      <c r="E483" s="8" t="str">
        <f>IFERROR(__xludf.DUMMYFUNCTION("IF(
  LEN(TRIM(D483))=0,
  ""왼쪽에 영어 문장을 입력하세요"",
  GOOGLETRANSLATE(D483,""en"",""ko"")
)"),"누군가의 호감을 사다")</f>
        <v>누군가의 호감을 사다</v>
      </c>
      <c r="F483" s="9" t="s">
        <v>894</v>
      </c>
    </row>
    <row r="484" ht="20.25" customHeight="1">
      <c r="A484" s="5">
        <v>550.0</v>
      </c>
      <c r="B484" s="6">
        <v>251224.0</v>
      </c>
      <c r="C484" s="4"/>
      <c r="D484" s="7" t="s">
        <v>895</v>
      </c>
      <c r="E484" s="8" t="str">
        <f>IFERROR(__xludf.DUMMYFUNCTION("IF(
  LEN(TRIM(D484))=0,
  ""왼쪽에 영어 문장을 입력하세요"",
  GOOGLETRANSLATE(D484,""en"",""ko"")
)"),"페미니즘이 뿌리내리지 못한 곳")</f>
        <v>페미니즘이 뿌리내리지 못한 곳</v>
      </c>
      <c r="F484" s="9" t="s">
        <v>896</v>
      </c>
    </row>
    <row r="485" ht="20.25" customHeight="1">
      <c r="A485" s="5">
        <v>551.0</v>
      </c>
      <c r="B485" s="6">
        <v>251224.0</v>
      </c>
      <c r="C485" s="4"/>
      <c r="D485" s="7" t="s">
        <v>897</v>
      </c>
      <c r="E485" s="8" t="str">
        <f>IFERROR(__xludf.DUMMYFUNCTION("IF(
  LEN(TRIM(D485))=0,
  ""왼쪽에 영어 문장을 입력하세요"",
  GOOGLETRANSLATE(D485,""en"",""ko"")
)"),"거리낌 없이")</f>
        <v>거리낌 없이</v>
      </c>
      <c r="F485" s="9" t="s">
        <v>898</v>
      </c>
    </row>
    <row r="486" ht="20.25" customHeight="1">
      <c r="A486" s="5">
        <v>552.0</v>
      </c>
      <c r="B486" s="6">
        <v>251224.0</v>
      </c>
      <c r="C486" s="4"/>
      <c r="D486" s="7" t="s">
        <v>899</v>
      </c>
      <c r="E486" s="8" t="str">
        <f>IFERROR(__xludf.DUMMYFUNCTION("IF(
  LEN(TRIM(D486))=0,
  ""왼쪽에 영어 문장을 입력하세요"",
  GOOGLETRANSLATE(D486,""en"",""ko"")
)"),"무능한")</f>
        <v>무능한</v>
      </c>
      <c r="F486" s="9" t="s">
        <v>900</v>
      </c>
    </row>
    <row r="487" ht="20.25" customHeight="1">
      <c r="A487" s="5">
        <v>553.0</v>
      </c>
      <c r="B487" s="6">
        <v>251224.0</v>
      </c>
      <c r="C487" s="4"/>
      <c r="D487" s="7" t="s">
        <v>901</v>
      </c>
      <c r="E487" s="8" t="str">
        <f>IFERROR(__xludf.DUMMYFUNCTION("IF(
  LEN(TRIM(D487))=0,
  ""왼쪽에 영어 문장을 입력하세요"",
  GOOGLETRANSLATE(D487,""en"",""ko"")
)"),"어설픈")</f>
        <v>어설픈</v>
      </c>
      <c r="F487" s="9" t="s">
        <v>902</v>
      </c>
    </row>
    <row r="488" ht="20.25" customHeight="1">
      <c r="A488" s="5">
        <v>554.0</v>
      </c>
      <c r="B488" s="6">
        <v>251224.0</v>
      </c>
      <c r="C488" s="4"/>
      <c r="D488" s="7" t="s">
        <v>903</v>
      </c>
      <c r="E488" s="8" t="str">
        <f>IFERROR(__xludf.DUMMYFUNCTION("IF(
  LEN(TRIM(D488))=0,
  ""왼쪽에 영어 문장을 입력하세요"",
  GOOGLETRANSLATE(D488,""en"",""ko"")
)"),"나는 눈치가 있어")</f>
        <v>나는 눈치가 있어</v>
      </c>
      <c r="F488" s="9" t="s">
        <v>904</v>
      </c>
    </row>
    <row r="489" ht="20.25" customHeight="1">
      <c r="A489" s="5">
        <v>555.0</v>
      </c>
      <c r="B489" s="6">
        <v>251224.0</v>
      </c>
      <c r="C489" s="4"/>
      <c r="D489" s="7" t="s">
        <v>905</v>
      </c>
      <c r="E489" s="8" t="str">
        <f>IFERROR(__xludf.DUMMYFUNCTION("IF(
  LEN(TRIM(D489))=0,
  ""왼쪽에 영어 문장을 입력하세요"",
  GOOGLETRANSLATE(D489,""en"",""ko"")
)"),"과시적인")</f>
        <v>과시적인</v>
      </c>
      <c r="F489" s="9" t="s">
        <v>906</v>
      </c>
    </row>
    <row r="490" ht="20.25" customHeight="1">
      <c r="A490" s="5">
        <v>556.0</v>
      </c>
      <c r="B490" s="6">
        <v>251224.0</v>
      </c>
      <c r="C490" s="4"/>
      <c r="D490" s="7" t="s">
        <v>907</v>
      </c>
      <c r="E490" s="8" t="str">
        <f>IFERROR(__xludf.DUMMYFUNCTION("IF(
  LEN(TRIM(D490))=0,
  ""왼쪽에 영어 문장을 입력하세요"",
  GOOGLETRANSLATE(D490,""en"",""ko"")
)"),"과시")</f>
        <v>과시</v>
      </c>
      <c r="F490" s="9" t="s">
        <v>908</v>
      </c>
    </row>
    <row r="491" ht="20.25" customHeight="1">
      <c r="A491" s="5">
        <v>557.0</v>
      </c>
      <c r="B491" s="6">
        <v>251224.0</v>
      </c>
      <c r="C491" s="4"/>
      <c r="D491" s="7" t="s">
        <v>909</v>
      </c>
      <c r="E491" s="8" t="str">
        <f>IFERROR(__xludf.DUMMYFUNCTION("IF(
  LEN(TRIM(D491))=0,
  ""왼쪽에 영어 문장을 입력하세요"",
  GOOGLETRANSLATE(D491,""en"",""ko"")
)"),"쓰레기")</f>
        <v>쓰레기</v>
      </c>
      <c r="F491" s="9" t="s">
        <v>910</v>
      </c>
    </row>
    <row r="492" ht="20.25" customHeight="1">
      <c r="A492" s="5">
        <v>558.0</v>
      </c>
      <c r="B492" s="6">
        <v>251224.0</v>
      </c>
      <c r="C492" s="4"/>
      <c r="D492" s="7" t="s">
        <v>911</v>
      </c>
      <c r="E492" s="8" t="str">
        <f>IFERROR(__xludf.DUMMYFUNCTION("IF(
  LEN(TRIM(D492))=0,
  ""왼쪽에 영어 문장을 입력하세요"",
  GOOGLETRANSLATE(D492,""en"",""ko"")
)"),"버킷리스트에 있던 항목 하나를 달성했어요.")</f>
        <v>버킷리스트에 있던 항목 하나를 달성했어요.</v>
      </c>
      <c r="F492" s="9" t="s">
        <v>912</v>
      </c>
    </row>
    <row r="493" ht="20.25" customHeight="1">
      <c r="A493" s="5">
        <v>559.0</v>
      </c>
      <c r="B493" s="6">
        <v>251224.0</v>
      </c>
      <c r="C493" s="4"/>
      <c r="D493" s="7" t="s">
        <v>913</v>
      </c>
      <c r="E493" s="8" t="str">
        <f>IFERROR(__xludf.DUMMYFUNCTION("IF(
  LEN(TRIM(D493))=0,
  ""왼쪽에 영어 문장을 입력하세요"",
  GOOGLETRANSLATE(D493,""en"",""ko"")
)"),"그란디오스")</f>
        <v>그란디오스</v>
      </c>
      <c r="F493" s="9" t="s">
        <v>914</v>
      </c>
    </row>
    <row r="494" ht="20.25" customHeight="1">
      <c r="A494" s="5">
        <v>560.0</v>
      </c>
      <c r="B494" s="6">
        <v>251224.0</v>
      </c>
      <c r="C494" s="4"/>
      <c r="D494" s="7" t="s">
        <v>915</v>
      </c>
      <c r="E494" s="8" t="str">
        <f>IFERROR(__xludf.DUMMYFUNCTION("IF(
  LEN(TRIM(D494))=0,
  ""왼쪽에 영어 문장을 입력하세요"",
  GOOGLETRANSLATE(D494,""en"",""ko"")
)"),"경계")</f>
        <v>경계</v>
      </c>
      <c r="F494" s="9" t="s">
        <v>916</v>
      </c>
    </row>
    <row r="495" ht="20.25" customHeight="1">
      <c r="A495" s="5">
        <v>561.0</v>
      </c>
      <c r="B495" s="6">
        <v>251224.0</v>
      </c>
      <c r="C495" s="4"/>
      <c r="D495" s="7" t="s">
        <v>917</v>
      </c>
      <c r="E495" s="8" t="str">
        <f>IFERROR(__xludf.DUMMYFUNCTION("IF(
  LEN(TRIM(D495))=0,
  ""왼쪽에 영어 문장을 입력하세요"",
  GOOGLETRANSLATE(D495,""en"",""ko"")
)"),"함축하다")</f>
        <v>함축하다</v>
      </c>
      <c r="F495" s="9" t="s">
        <v>918</v>
      </c>
    </row>
    <row r="496" ht="20.25" customHeight="1">
      <c r="A496" s="5">
        <v>562.0</v>
      </c>
      <c r="B496" s="6">
        <v>251224.0</v>
      </c>
      <c r="C496" s="4"/>
      <c r="D496" s="7" t="s">
        <v>919</v>
      </c>
      <c r="E496" s="8" t="str">
        <f>IFERROR(__xludf.DUMMYFUNCTION("IF(
  LEN(TRIM(D496))=0,
  ""왼쪽에 영어 문장을 입력하세요"",
  GOOGLETRANSLATE(D496,""en"",""ko"")
)"),"버티다")</f>
        <v>버티다</v>
      </c>
      <c r="F496" s="9" t="s">
        <v>920</v>
      </c>
    </row>
    <row r="497" ht="20.25" customHeight="1">
      <c r="A497" s="5">
        <v>563.0</v>
      </c>
      <c r="B497" s="6">
        <v>251224.0</v>
      </c>
      <c r="C497" s="4"/>
      <c r="D497" s="7" t="s">
        <v>921</v>
      </c>
      <c r="E497" s="8" t="str">
        <f>IFERROR(__xludf.DUMMYFUNCTION("IF(
  LEN(TRIM(D497))=0,
  ""왼쪽에 영어 문장을 입력하세요"",
  GOOGLETRANSLATE(D497,""en"",""ko"")
)"),"경제적 부담")</f>
        <v>경제적 부담</v>
      </c>
      <c r="F497" s="9" t="s">
        <v>922</v>
      </c>
    </row>
    <row r="498" ht="20.25" customHeight="1">
      <c r="A498" s="5">
        <v>564.0</v>
      </c>
      <c r="B498" s="6">
        <v>251224.0</v>
      </c>
      <c r="C498" s="4"/>
      <c r="D498" s="7" t="s">
        <v>923</v>
      </c>
      <c r="E498" s="8" t="str">
        <f>IFERROR(__xludf.DUMMYFUNCTION("IF(
  LEN(TRIM(D498))=0,
  ""왼쪽에 영어 문장을 입력하세요"",
  GOOGLETRANSLATE(D498,""en"",""ko"")
)"),"비참하게")</f>
        <v>비참하게</v>
      </c>
      <c r="F498" s="9" t="s">
        <v>924</v>
      </c>
    </row>
    <row r="499" ht="20.25" customHeight="1">
      <c r="A499" s="5">
        <v>565.0</v>
      </c>
      <c r="B499" s="6">
        <v>251224.0</v>
      </c>
      <c r="C499" s="4"/>
      <c r="D499" s="7" t="s">
        <v>925</v>
      </c>
      <c r="E499" s="8" t="str">
        <f>IFERROR(__xludf.DUMMYFUNCTION("IF(
  LEN(TRIM(D499))=0,
  ""왼쪽에 영어 문장을 입력하세요"",
  GOOGLETRANSLATE(D499,""en"",""ko"")
)"),"버튼을 누르세요")</f>
        <v>버튼을 누르세요</v>
      </c>
      <c r="F499" s="9" t="s">
        <v>926</v>
      </c>
    </row>
    <row r="500" ht="20.25" customHeight="1">
      <c r="A500" s="5">
        <v>566.0</v>
      </c>
      <c r="B500" s="6">
        <v>251224.0</v>
      </c>
      <c r="C500" s="4"/>
      <c r="D500" s="7" t="s">
        <v>927</v>
      </c>
      <c r="E500" s="8" t="str">
        <f>IFERROR(__xludf.DUMMYFUNCTION("IF(
  LEN(TRIM(D500))=0,
  ""왼쪽에 영어 문장을 입력하세요"",
  GOOGLETRANSLATE(D500,""en"",""ko"")
)"),"그 이야기는 많은 사람들의 심기를 건드렸습니다.")</f>
        <v>그 이야기는 많은 사람들의 심기를 건드렸습니다.</v>
      </c>
      <c r="F500" s="9" t="s">
        <v>928</v>
      </c>
    </row>
    <row r="501" ht="20.25" customHeight="1">
      <c r="A501" s="5">
        <v>567.0</v>
      </c>
      <c r="B501" s="6">
        <v>251224.0</v>
      </c>
      <c r="C501" s="4"/>
      <c r="D501" s="7" t="s">
        <v>929</v>
      </c>
      <c r="E501" s="8" t="str">
        <f>IFERROR(__xludf.DUMMYFUNCTION("IF(
  LEN(TRIM(D501))=0,
  ""왼쪽에 영어 문장을 입력하세요"",
  GOOGLETRANSLATE(D501,""en"",""ko"")
)"),"내 버튼을 누르지 마세요")</f>
        <v>내 버튼을 누르지 마세요</v>
      </c>
      <c r="F501" s="9" t="s">
        <v>930</v>
      </c>
    </row>
    <row r="502" ht="20.25" customHeight="1">
      <c r="A502" s="5">
        <v>568.0</v>
      </c>
      <c r="B502" s="6">
        <v>251224.0</v>
      </c>
      <c r="C502" s="4"/>
      <c r="D502" s="7" t="s">
        <v>931</v>
      </c>
      <c r="E502" s="8" t="str">
        <f>IFERROR(__xludf.DUMMYFUNCTION("IF(
  LEN(TRIM(D502))=0,
  ""왼쪽에 영어 문장을 입력하세요"",
  GOOGLETRANSLATE(D502,""en"",""ko"")
)"),"흐림")</f>
        <v>흐림</v>
      </c>
      <c r="F502" s="9" t="s">
        <v>932</v>
      </c>
    </row>
    <row r="503" ht="20.25" customHeight="1">
      <c r="A503" s="5">
        <v>569.0</v>
      </c>
      <c r="B503" s="6">
        <v>251224.0</v>
      </c>
      <c r="C503" s="4"/>
      <c r="D503" s="7" t="s">
        <v>933</v>
      </c>
      <c r="E503" s="8" t="str">
        <f>IFERROR(__xludf.DUMMYFUNCTION("IF(
  LEN(TRIM(D503))=0,
  ""왼쪽에 영어 문장을 입력하세요"",
  GOOGLETRANSLATE(D503,""en"",""ko"")
)"),"사치")</f>
        <v>사치</v>
      </c>
      <c r="F503" s="9" t="s">
        <v>934</v>
      </c>
    </row>
    <row r="504" ht="20.25" customHeight="1">
      <c r="A504" s="5">
        <v>570.0</v>
      </c>
      <c r="B504" s="6">
        <v>251224.0</v>
      </c>
      <c r="C504" s="4"/>
      <c r="D504" s="7" t="s">
        <v>935</v>
      </c>
      <c r="E504" s="8" t="str">
        <f>IFERROR(__xludf.DUMMYFUNCTION("IF(
  LEN(TRIM(D504))=0,
  ""왼쪽에 영어 문장을 입력하세요"",
  GOOGLETRANSLATE(D504,""en"",""ko"")
)"),"가입")</f>
        <v>가입</v>
      </c>
      <c r="F504" s="9" t="s">
        <v>936</v>
      </c>
    </row>
    <row r="505" ht="20.25" customHeight="1">
      <c r="A505" s="5">
        <v>571.0</v>
      </c>
      <c r="B505" s="6">
        <v>251224.0</v>
      </c>
      <c r="C505" s="4"/>
      <c r="D505" s="7" t="s">
        <v>937</v>
      </c>
      <c r="E505" s="8" t="str">
        <f>IFERROR(__xludf.DUMMYFUNCTION("IF(
  LEN(TRIM(D505))=0,
  ""왼쪽에 영어 문장을 입력하세요"",
  GOOGLETRANSLATE(D505,""en"",""ko"")
)"),"졸부")</f>
        <v>졸부</v>
      </c>
      <c r="F505" s="9" t="s">
        <v>938</v>
      </c>
    </row>
    <row r="506" ht="20.25" customHeight="1">
      <c r="A506" s="5">
        <v>572.0</v>
      </c>
      <c r="B506" s="6">
        <v>251224.0</v>
      </c>
      <c r="C506" s="4"/>
      <c r="D506" s="7" t="s">
        <v>939</v>
      </c>
      <c r="E506" s="8" t="str">
        <f>IFERROR(__xludf.DUMMYFUNCTION("IF(
  LEN(TRIM(D506))=0,
  ""왼쪽에 영어 문장을 입력하세요"",
  GOOGLETRANSLATE(D506,""en"",""ko"")
)"),"가짜")</f>
        <v>가짜</v>
      </c>
      <c r="F506" s="9" t="s">
        <v>940</v>
      </c>
    </row>
    <row r="507" ht="20.25" customHeight="1">
      <c r="A507" s="5">
        <v>573.0</v>
      </c>
      <c r="B507" s="6">
        <v>251224.0</v>
      </c>
      <c r="C507" s="4"/>
      <c r="D507" s="7" t="s">
        <v>941</v>
      </c>
      <c r="E507" s="8" t="str">
        <f>IFERROR(__xludf.DUMMYFUNCTION("IF(
  LEN(TRIM(D507))=0,
  ""왼쪽에 영어 문장을 입력하세요"",
  GOOGLETRANSLATE(D507,""en"",""ko"")
)"),"정교한")</f>
        <v>정교한</v>
      </c>
      <c r="F507" s="9" t="s">
        <v>942</v>
      </c>
    </row>
    <row r="508" ht="20.25" customHeight="1">
      <c r="A508" s="5">
        <v>574.0</v>
      </c>
      <c r="B508" s="6">
        <v>251224.0</v>
      </c>
      <c r="C508" s="4"/>
      <c r="D508" s="7" t="s">
        <v>943</v>
      </c>
      <c r="E508" s="8" t="str">
        <f>IFERROR(__xludf.DUMMYFUNCTION("IF(
  LEN(TRIM(D508))=0,
  ""왼쪽에 영어 문장을 입력하세요"",
  GOOGLETRANSLATE(D508,""en"",""ko"")
)"),"션은 마침내 어머니에게 무슨 일이 있었는지 털어놓았다.")</f>
        <v>션은 마침내 어머니에게 무슨 일이 있었는지 털어놓았다.</v>
      </c>
      <c r="F508" s="9" t="s">
        <v>944</v>
      </c>
    </row>
    <row r="509" ht="20.25" customHeight="1">
      <c r="A509" s="5">
        <v>575.0</v>
      </c>
      <c r="B509" s="6">
        <v>251224.0</v>
      </c>
      <c r="C509" s="4"/>
      <c r="D509" s="7" t="s">
        <v>945</v>
      </c>
      <c r="E509" s="8" t="str">
        <f>IFERROR(__xludf.DUMMYFUNCTION("IF(
  LEN(TRIM(D509))=0,
  ""왼쪽에 영어 문장을 입력하세요"",
  GOOGLETRANSLATE(D509,""en"",""ko"")
)"),"새 매니저는 초과 근무 수당 문제에 있어서 우리 편이었어요.")</f>
        <v>새 매니저는 초과 근무 수당 문제에 있어서 우리 편이었어요.</v>
      </c>
      <c r="F509" s="9" t="s">
        <v>946</v>
      </c>
    </row>
    <row r="510" ht="20.25" customHeight="1">
      <c r="A510" s="5">
        <v>576.0</v>
      </c>
      <c r="B510" s="6">
        <v>251224.0</v>
      </c>
      <c r="C510" s="4"/>
      <c r="D510" s="7" t="s">
        <v>947</v>
      </c>
      <c r="E510" s="8" t="str">
        <f>IFERROR(__xludf.DUMMYFUNCTION("IF(
  LEN(TRIM(D510))=0,
  ""왼쪽에 영어 문장을 입력하세요"",
  GOOGLETRANSLATE(D510,""en"",""ko"")
)"),"고통")</f>
        <v>고통</v>
      </c>
      <c r="F510" s="9" t="s">
        <v>948</v>
      </c>
    </row>
    <row r="511" ht="20.25" customHeight="1">
      <c r="A511" s="5">
        <v>577.0</v>
      </c>
      <c r="B511" s="6">
        <v>251224.0</v>
      </c>
      <c r="C511" s="4"/>
      <c r="D511" s="7" t="s">
        <v>949</v>
      </c>
      <c r="E511" s="8" t="str">
        <f>IFERROR(__xludf.DUMMYFUNCTION("IF(
  LEN(TRIM(D511))=0,
  ""왼쪽에 영어 문장을 입력하세요"",
  GOOGLETRANSLATE(D511,""en"",""ko"")
)"),"괴로운")</f>
        <v>괴로운</v>
      </c>
      <c r="F511" s="9" t="s">
        <v>950</v>
      </c>
    </row>
    <row r="512" ht="20.25" customHeight="1">
      <c r="A512" s="5">
        <v>578.0</v>
      </c>
      <c r="B512" s="6">
        <v>251224.0</v>
      </c>
      <c r="C512" s="4"/>
      <c r="D512" s="7" t="s">
        <v>951</v>
      </c>
      <c r="E512" s="8" t="str">
        <f>IFERROR(__xludf.DUMMYFUNCTION("IF(
  LEN(TRIM(D512))=0,
  ""왼쪽에 영어 문장을 입력하세요"",
  GOOGLETRANSLATE(D512,""en"",""ko"")
)"),"광점")</f>
        <v>광점</v>
      </c>
      <c r="F512" s="9" t="s">
        <v>952</v>
      </c>
    </row>
    <row r="513" ht="20.25" customHeight="1">
      <c r="A513" s="5">
        <v>579.0</v>
      </c>
      <c r="B513" s="6">
        <v>251224.0</v>
      </c>
      <c r="C513" s="4"/>
      <c r="D513" s="7" t="s">
        <v>953</v>
      </c>
      <c r="E513" s="8" t="str">
        <f>IFERROR(__xludf.DUMMYFUNCTION("IF(
  LEN(TRIM(D513))=0,
  ""왼쪽에 영어 문장을 입력하세요"",
  GOOGLETRANSLATE(D513,""en"",""ko"")
)"),"희미한")</f>
        <v>희미한</v>
      </c>
      <c r="F513" s="9" t="s">
        <v>954</v>
      </c>
    </row>
    <row r="514" ht="20.25" customHeight="1">
      <c r="A514" s="5">
        <v>580.0</v>
      </c>
      <c r="B514" s="6">
        <v>251224.0</v>
      </c>
      <c r="C514" s="4"/>
      <c r="D514" s="7" t="s">
        <v>955</v>
      </c>
      <c r="E514" s="8" t="str">
        <f>IFERROR(__xludf.DUMMYFUNCTION("IF(
  LEN(TRIM(D514))=0,
  ""왼쪽에 영어 문장을 입력하세요"",
  GOOGLETRANSLATE(D514,""en"",""ko"")
)"),"가까이")</f>
        <v>가까이</v>
      </c>
      <c r="F514" s="9" t="s">
        <v>956</v>
      </c>
    </row>
    <row r="515" ht="20.25" customHeight="1">
      <c r="A515" s="5">
        <v>581.0</v>
      </c>
      <c r="B515" s="6">
        <v>251224.0</v>
      </c>
      <c r="C515" s="4"/>
      <c r="D515" s="7" t="s">
        <v>957</v>
      </c>
      <c r="E515" s="8" t="str">
        <f>IFERROR(__xludf.DUMMYFUNCTION("IF(
  LEN(TRIM(D515))=0,
  ""왼쪽에 영어 문장을 입력하세요"",
  GOOGLETRANSLATE(D515,""en"",""ko"")
)"),"연말이 다가오고 있습니다")</f>
        <v>연말이 다가오고 있습니다</v>
      </c>
      <c r="F515" s="9" t="s">
        <v>958</v>
      </c>
    </row>
    <row r="516" ht="20.25" customHeight="1">
      <c r="A516" s="5">
        <v>582.0</v>
      </c>
      <c r="B516" s="6">
        <v>251224.0</v>
      </c>
      <c r="C516" s="4"/>
      <c r="D516" s="7" t="s">
        <v>959</v>
      </c>
      <c r="E516" s="8" t="str">
        <f>IFERROR(__xludf.DUMMYFUNCTION("IF(
  LEN(TRIM(D516))=0,
  ""왼쪽에 영어 문장을 입력하세요"",
  GOOGLETRANSLATE(D516,""en"",""ko"")
)"),"재평가하다")</f>
        <v>재평가하다</v>
      </c>
      <c r="F516" s="9" t="s">
        <v>960</v>
      </c>
    </row>
    <row r="517" ht="20.25" customHeight="1">
      <c r="A517" s="5">
        <v>583.0</v>
      </c>
      <c r="B517" s="6">
        <v>251224.0</v>
      </c>
      <c r="C517" s="4"/>
      <c r="D517" s="7" t="s">
        <v>961</v>
      </c>
      <c r="E517" s="8" t="str">
        <f>IFERROR(__xludf.DUMMYFUNCTION("IF(
  LEN(TRIM(D517))=0,
  ""왼쪽에 영어 문장을 입력하세요"",
  GOOGLETRANSLATE(D517,""en"",""ko"")
)"),"확실성")</f>
        <v>확실성</v>
      </c>
      <c r="F517" s="9" t="s">
        <v>962</v>
      </c>
    </row>
    <row r="518" ht="20.25" customHeight="1">
      <c r="A518" s="5">
        <v>584.0</v>
      </c>
      <c r="B518" s="6">
        <v>251224.0</v>
      </c>
      <c r="C518" s="4"/>
      <c r="D518" s="7" t="s">
        <v>963</v>
      </c>
      <c r="E518" s="8" t="str">
        <f>IFERROR(__xludf.DUMMYFUNCTION("IF(
  LEN(TRIM(D518))=0,
  ""왼쪽에 영어 문장을 입력하세요"",
  GOOGLETRANSLATE(D518,""en"",""ko"")
)"),"진본인 ")</f>
        <v>진본인 </v>
      </c>
      <c r="F518" s="9" t="s">
        <v>964</v>
      </c>
    </row>
    <row r="519" ht="20.25" customHeight="1">
      <c r="A519" s="5">
        <v>585.0</v>
      </c>
      <c r="B519" s="6">
        <v>251224.0</v>
      </c>
      <c r="C519" s="4"/>
      <c r="D519" s="7" t="s">
        <v>965</v>
      </c>
      <c r="E519" s="8" t="str">
        <f>IFERROR(__xludf.DUMMYFUNCTION("IF(
  LEN(TRIM(D519))=0,
  ""왼쪽에 영어 문장을 입력하세요"",
  GOOGLETRANSLATE(D519,""en"",""ko"")
)"),"굴복하여 엎드리다")</f>
        <v>굴복하여 엎드리다</v>
      </c>
      <c r="F519" s="9" t="s">
        <v>966</v>
      </c>
    </row>
    <row r="520" ht="20.25" customHeight="1">
      <c r="A520" s="5">
        <v>586.0</v>
      </c>
      <c r="B520" s="6">
        <v>251224.0</v>
      </c>
      <c r="C520" s="4"/>
      <c r="D520" s="7" t="s">
        <v>967</v>
      </c>
      <c r="E520" s="8" t="str">
        <f>IFERROR(__xludf.DUMMYFUNCTION("IF(
  LEN(TRIM(D520))=0,
  ""왼쪽에 영어 문장을 입력하세요"",
  GOOGLETRANSLATE(D520,""en"",""ko"")
)"),"나는 내 야망을 채우기 위해 굴복하고 엎드린다")</f>
        <v>나는 내 야망을 채우기 위해 굴복하고 엎드린다</v>
      </c>
      <c r="F520" s="9" t="s">
        <v>968</v>
      </c>
    </row>
    <row r="521" ht="20.25" customHeight="1">
      <c r="A521" s="5">
        <v>587.0</v>
      </c>
      <c r="B521" s="6">
        <v>251224.0</v>
      </c>
      <c r="C521" s="4"/>
      <c r="D521" s="7" t="s">
        <v>969</v>
      </c>
      <c r="E521" s="8" t="str">
        <f>IFERROR(__xludf.DUMMYFUNCTION("IF(
  LEN(TRIM(D521))=0,
  ""왼쪽에 영어 문장을 입력하세요"",
  GOOGLETRANSLATE(D521,""en"",""ko"")
)"),"제출")</f>
        <v>제출</v>
      </c>
      <c r="F521" s="9" t="s">
        <v>970</v>
      </c>
    </row>
    <row r="522" ht="20.25" customHeight="1">
      <c r="A522" s="5">
        <v>588.0</v>
      </c>
      <c r="B522" s="6">
        <v>251224.0</v>
      </c>
      <c r="C522" s="4"/>
      <c r="D522" s="7" t="s">
        <v>971</v>
      </c>
      <c r="E522" s="8" t="str">
        <f>IFERROR(__xludf.DUMMYFUNCTION("IF(
  LEN(TRIM(D522))=0,
  ""왼쪽에 영어 문장을 입력하세요"",
  GOOGLETRANSLATE(D522,""en"",""ko"")
)"),"굴복하다")</f>
        <v>굴복하다</v>
      </c>
      <c r="F522" s="9" t="s">
        <v>972</v>
      </c>
    </row>
    <row r="523" ht="20.25" customHeight="1">
      <c r="A523" s="5">
        <v>589.0</v>
      </c>
      <c r="B523" s="6">
        <v>251224.0</v>
      </c>
      <c r="C523" s="4"/>
      <c r="D523" s="7" t="s">
        <v>973</v>
      </c>
      <c r="E523" s="8" t="str">
        <f>IFERROR(__xludf.DUMMYFUNCTION("IF(
  LEN(TRIM(D523))=0,
  ""왼쪽에 영어 문장을 입력하세요"",
  GOOGLETRANSLATE(D523,""en"",""ko"")
)"),"열렬히")</f>
        <v>열렬히</v>
      </c>
      <c r="F523" s="9" t="s">
        <v>974</v>
      </c>
    </row>
    <row r="524" ht="20.25" customHeight="1">
      <c r="A524" s="5">
        <v>590.0</v>
      </c>
      <c r="B524" s="6">
        <v>251224.0</v>
      </c>
      <c r="C524" s="4"/>
      <c r="D524" s="7" t="s">
        <v>975</v>
      </c>
      <c r="E524" s="8" t="str">
        <f>IFERROR(__xludf.DUMMYFUNCTION("IF(
  LEN(TRIM(D524))=0,
  ""왼쪽에 영어 문장을 입력하세요"",
  GOOGLETRANSLATE(D524,""en"",""ko"")
)"),"인격화")</f>
        <v>인격화</v>
      </c>
      <c r="F524" s="9" t="s">
        <v>976</v>
      </c>
    </row>
    <row r="525" ht="20.25" customHeight="1">
      <c r="A525" s="5">
        <v>591.0</v>
      </c>
      <c r="B525" s="6">
        <v>251224.0</v>
      </c>
      <c r="C525" s="4"/>
      <c r="D525" s="7" t="s">
        <v>977</v>
      </c>
      <c r="E525" s="8" t="str">
        <f>IFERROR(__xludf.DUMMYFUNCTION("IF(
  LEN(TRIM(D525))=0,
  ""왼쪽에 영어 문장을 입력하세요"",
  GOOGLETRANSLATE(D525,""en"",""ko"")
)"),"보험료")</f>
        <v>보험료</v>
      </c>
      <c r="F525" s="9" t="s">
        <v>978</v>
      </c>
    </row>
    <row r="526" ht="20.25" customHeight="1">
      <c r="A526" s="5">
        <v>592.0</v>
      </c>
      <c r="B526" s="6">
        <v>251224.0</v>
      </c>
      <c r="C526" s="4"/>
      <c r="D526" s="7" t="s">
        <v>979</v>
      </c>
      <c r="E526" s="8" t="str">
        <f>IFERROR(__xludf.DUMMYFUNCTION("IF(
  LEN(TRIM(D526))=0,
  ""왼쪽에 영어 문장을 입력하세요"",
  GOOGLETRANSLATE(D526,""en"",""ko"")
)"),"화를 내다")</f>
        <v>화를 내다</v>
      </c>
      <c r="F526" s="9" t="s">
        <v>980</v>
      </c>
    </row>
    <row r="527" ht="20.25" customHeight="1">
      <c r="A527" s="5">
        <v>593.0</v>
      </c>
      <c r="B527" s="6">
        <v>251224.0</v>
      </c>
      <c r="C527" s="4"/>
      <c r="D527" s="7" t="s">
        <v>981</v>
      </c>
      <c r="E527" s="8" t="str">
        <f>IFERROR(__xludf.DUMMYFUNCTION("IF(
  LEN(TRIM(D527))=0,
  ""왼쪽에 영어 문장을 입력하세요"",
  GOOGLETRANSLATE(D527,""en"",""ko"")
)"),"과대망상")</f>
        <v>과대망상</v>
      </c>
      <c r="F527" s="9" t="s">
        <v>982</v>
      </c>
    </row>
    <row r="528" ht="20.25" customHeight="1">
      <c r="A528" s="5">
        <v>594.0</v>
      </c>
      <c r="B528" s="6">
        <v>251224.0</v>
      </c>
      <c r="C528" s="4"/>
      <c r="D528" s="7" t="s">
        <v>983</v>
      </c>
      <c r="E528" s="8" t="str">
        <f>IFERROR(__xludf.DUMMYFUNCTION("IF(
  LEN(TRIM(D528))=0,
  ""왼쪽에 영어 문장을 입력하세요"",
  GOOGLETRANSLATE(D528,""en"",""ko"")
)"),"협력 관계")</f>
        <v>협력 관계</v>
      </c>
      <c r="F528" s="9" t="s">
        <v>984</v>
      </c>
    </row>
    <row r="529" ht="20.25" customHeight="1">
      <c r="A529" s="5">
        <v>595.0</v>
      </c>
      <c r="B529" s="6">
        <v>251224.0</v>
      </c>
      <c r="C529" s="4"/>
      <c r="D529" s="7" t="s">
        <v>985</v>
      </c>
      <c r="E529" s="8" t="str">
        <f>IFERROR(__xludf.DUMMYFUNCTION("IF(
  LEN(TRIM(D529))=0,
  ""왼쪽에 영어 문장을 입력하세요"",
  GOOGLETRANSLATE(D529,""en"",""ko"")
)"),"동시에")</f>
        <v>동시에</v>
      </c>
      <c r="F529" s="9" t="s">
        <v>986</v>
      </c>
    </row>
    <row r="530" ht="20.25" customHeight="1">
      <c r="A530" s="5">
        <v>596.0</v>
      </c>
      <c r="B530" s="6">
        <v>251224.0</v>
      </c>
      <c r="C530" s="4"/>
      <c r="D530" s="7" t="s">
        <v>987</v>
      </c>
      <c r="E530" s="8" t="str">
        <f>IFERROR(__xludf.DUMMYFUNCTION("IF(
  LEN(TRIM(D530))=0,
  ""왼쪽에 영어 문장을 입력하세요"",
  GOOGLETRANSLATE(D530,""en"",""ko"")
)"),"다시 없는 기쁨")</f>
        <v>다시 없는 기쁨</v>
      </c>
      <c r="F530" s="9" t="s">
        <v>988</v>
      </c>
    </row>
    <row r="531" ht="20.25" customHeight="1">
      <c r="A531" s="5">
        <v>597.0</v>
      </c>
      <c r="B531" s="6">
        <v>251224.0</v>
      </c>
      <c r="C531" s="4"/>
      <c r="D531" s="7" t="s">
        <v>989</v>
      </c>
      <c r="E531" s="8" t="str">
        <f>IFERROR(__xludf.DUMMYFUNCTION("IF(
  LEN(TRIM(D531))=0,
  ""왼쪽에 영어 문장을 입력하세요"",
  GOOGLETRANSLATE(D531,""en"",""ko"")
)"),"망각")</f>
        <v>망각</v>
      </c>
      <c r="F531" s="9" t="s">
        <v>990</v>
      </c>
    </row>
    <row r="532" ht="20.25" customHeight="1">
      <c r="A532" s="5">
        <v>598.0</v>
      </c>
      <c r="B532" s="6">
        <v>251224.0</v>
      </c>
      <c r="C532" s="4"/>
      <c r="D532" s="7" t="s">
        <v>991</v>
      </c>
      <c r="E532" s="8" t="str">
        <f>IFERROR(__xludf.DUMMYFUNCTION("IF(
  LEN(TRIM(D532))=0,
  ""왼쪽에 영어 문장을 입력하세요"",
  GOOGLETRANSLATE(D532,""en"",""ko"")
)"),"어기다")</f>
        <v>어기다</v>
      </c>
      <c r="F532" s="9" t="s">
        <v>992</v>
      </c>
    </row>
    <row r="533" ht="20.25" customHeight="1">
      <c r="A533" s="5">
        <v>599.0</v>
      </c>
      <c r="B533" s="6">
        <v>251224.0</v>
      </c>
      <c r="C533" s="4"/>
      <c r="D533" s="7" t="s">
        <v>993</v>
      </c>
      <c r="E533" s="8" t="str">
        <f>IFERROR(__xludf.DUMMYFUNCTION("IF(
  LEN(TRIM(D533))=0,
  ""왼쪽에 영어 문장을 입력하세요"",
  GOOGLETRANSLATE(D533,""en"",""ko"")
)"),"보람 있는")</f>
        <v>보람 있는</v>
      </c>
      <c r="F533" s="9" t="s">
        <v>994</v>
      </c>
    </row>
    <row r="534" ht="20.25" customHeight="1">
      <c r="A534" s="5">
        <v>600.0</v>
      </c>
      <c r="B534" s="6">
        <v>251224.0</v>
      </c>
      <c r="C534" s="4"/>
      <c r="D534" s="7" t="s">
        <v>995</v>
      </c>
      <c r="E534" s="8" t="str">
        <f>IFERROR(__xludf.DUMMYFUNCTION("IF(
  LEN(TRIM(D534))=0,
  ""왼쪽에 영어 문장을 입력하세요"",
  GOOGLETRANSLATE(D534,""en"",""ko"")
)"),"우리는 엉뚱한 방향으로 흘러갔다")</f>
        <v>우리는 엉뚱한 방향으로 흘러갔다</v>
      </c>
      <c r="F534" s="9" t="s">
        <v>996</v>
      </c>
    </row>
    <row r="535" ht="20.25" customHeight="1">
      <c r="A535" s="5">
        <v>601.0</v>
      </c>
      <c r="B535" s="6">
        <v>251224.0</v>
      </c>
      <c r="C535" s="4"/>
      <c r="D535" s="7" t="s">
        <v>997</v>
      </c>
      <c r="E535" s="8" t="str">
        <f>IFERROR(__xludf.DUMMYFUNCTION("IF(
  LEN(TRIM(D535))=0,
  ""왼쪽에 영어 문장을 입력하세요"",
  GOOGLETRANSLATE(D535,""en"",""ko"")
)"),"자선을 베풀도록 요청했습니다")</f>
        <v>자선을 베풀도록 요청했습니다</v>
      </c>
      <c r="F535" s="9" t="s">
        <v>998</v>
      </c>
    </row>
    <row r="536" ht="20.25" customHeight="1">
      <c r="A536" s="5">
        <v>602.0</v>
      </c>
      <c r="B536" s="6">
        <v>251224.0</v>
      </c>
      <c r="C536" s="4"/>
      <c r="D536" s="7" t="s">
        <v>999</v>
      </c>
      <c r="E536" s="8" t="str">
        <f>IFERROR(__xludf.DUMMYFUNCTION("IF(
  LEN(TRIM(D536))=0,
  ""왼쪽에 영어 문장을 입력하세요"",
  GOOGLETRANSLATE(D536,""en"",""ko"")
)"),"성격이 나쁜")</f>
        <v>성격이 나쁜</v>
      </c>
      <c r="F536" s="9" t="s">
        <v>1000</v>
      </c>
    </row>
    <row r="537" ht="20.25" customHeight="1">
      <c r="A537" s="5">
        <v>603.0</v>
      </c>
      <c r="B537" s="6">
        <v>251224.0</v>
      </c>
      <c r="C537" s="4"/>
      <c r="D537" s="7" t="s">
        <v>1001</v>
      </c>
      <c r="E537" s="8" t="str">
        <f>IFERROR(__xludf.DUMMYFUNCTION("IF(
  LEN(TRIM(D537))=0,
  ""왼쪽에 영어 문장을 입력하세요"",
  GOOGLETRANSLATE(D537,""en"",""ko"")
)"),"딴 길로 새다")</f>
        <v>딴 길로 새다</v>
      </c>
      <c r="F537" s="9" t="s">
        <v>996</v>
      </c>
    </row>
    <row r="538" ht="20.25" customHeight="1">
      <c r="A538" s="5">
        <v>604.0</v>
      </c>
      <c r="B538" s="6">
        <v>251224.0</v>
      </c>
      <c r="C538" s="4"/>
      <c r="D538" s="7" t="s">
        <v>1002</v>
      </c>
      <c r="E538" s="8" t="str">
        <f>IFERROR(__xludf.DUMMYFUNCTION("IF(
  LEN(TRIM(D538))=0,
  ""왼쪽에 영어 문장을 입력하세요"",
  GOOGLETRANSLATE(D538,""en"",""ko"")
)"),"~로 칭송받다")</f>
        <v>~로 칭송받다</v>
      </c>
      <c r="F538" s="9" t="s">
        <v>1003</v>
      </c>
    </row>
    <row r="539" ht="20.25" customHeight="1">
      <c r="A539" s="5">
        <v>605.0</v>
      </c>
      <c r="B539" s="6">
        <v>251224.0</v>
      </c>
      <c r="C539" s="4"/>
      <c r="D539" s="7" t="s">
        <v>1004</v>
      </c>
      <c r="E539" s="8" t="str">
        <f>IFERROR(__xludf.DUMMYFUNCTION("IF(
  LEN(TRIM(D539))=0,
  ""왼쪽에 영어 문장을 입력하세요"",
  GOOGLETRANSLATE(D539,""en"",""ko"")
)"),"적들")</f>
        <v>적들</v>
      </c>
      <c r="F539" s="9" t="s">
        <v>1005</v>
      </c>
    </row>
    <row r="540" ht="20.25" customHeight="1">
      <c r="A540" s="5">
        <v>606.0</v>
      </c>
      <c r="B540" s="6">
        <v>251224.0</v>
      </c>
      <c r="C540" s="4"/>
      <c r="D540" s="7" t="s">
        <v>1006</v>
      </c>
      <c r="E540" s="8" t="str">
        <f>IFERROR(__xludf.DUMMYFUNCTION("IF(
  LEN(TRIM(D540))=0,
  ""왼쪽에 영어 문장을 입력하세요"",
  GOOGLETRANSLATE(D540,""en"",""ko"")
)"),"식객")</f>
        <v>식객</v>
      </c>
      <c r="F540" s="9" t="s">
        <v>1007</v>
      </c>
    </row>
    <row r="541" ht="20.25" customHeight="1">
      <c r="A541" s="5">
        <v>607.0</v>
      </c>
      <c r="B541" s="6">
        <v>251224.0</v>
      </c>
      <c r="C541" s="4"/>
      <c r="D541" s="7" t="s">
        <v>1008</v>
      </c>
      <c r="E541" s="8" t="str">
        <f>IFERROR(__xludf.DUMMYFUNCTION("IF(
  LEN(TRIM(D541))=0,
  ""왼쪽에 영어 문장을 입력하세요"",
  GOOGLETRANSLATE(D541,""en"",""ko"")
)"),"요청하다")</f>
        <v>요청하다</v>
      </c>
      <c r="F541" s="9" t="s">
        <v>1009</v>
      </c>
    </row>
    <row r="542" ht="20.25" customHeight="1">
      <c r="A542" s="5">
        <v>608.0</v>
      </c>
      <c r="B542" s="6">
        <v>251224.0</v>
      </c>
      <c r="C542" s="4"/>
      <c r="D542" s="7" t="s">
        <v>1010</v>
      </c>
      <c r="E542" s="8" t="str">
        <f>IFERROR(__xludf.DUMMYFUNCTION("IF(
  LEN(TRIM(D542))=0,
  ""왼쪽에 영어 문장을 입력하세요"",
  GOOGLETRANSLATE(D542,""en"",""ko"")
)"),"그녀는 당신보다 몇 살 더 많습니까?")</f>
        <v>그녀는 당신보다 몇 살 더 많습니까?</v>
      </c>
      <c r="F542" s="9" t="s">
        <v>1011</v>
      </c>
    </row>
    <row r="543" ht="20.25" customHeight="1">
      <c r="A543" s="5">
        <v>609.0</v>
      </c>
      <c r="B543" s="6">
        <v>251224.0</v>
      </c>
      <c r="C543" s="4"/>
      <c r="D543" s="7" t="s">
        <v>1012</v>
      </c>
      <c r="E543" s="8" t="str">
        <f>IFERROR(__xludf.DUMMYFUNCTION("IF(
  LEN(TRIM(D543))=0,
  ""왼쪽에 영어 문장을 입력하세요"",
  GOOGLETRANSLATE(D543,""en"",""ko"")
)"),"그녀는 당신보다 몇 살 더 많습니까?")</f>
        <v>그녀는 당신보다 몇 살 더 많습니까?</v>
      </c>
      <c r="F543" s="9" t="s">
        <v>1011</v>
      </c>
    </row>
    <row r="544" ht="20.25" customHeight="1">
      <c r="A544" s="5">
        <v>610.0</v>
      </c>
      <c r="B544" s="6">
        <v>251224.0</v>
      </c>
      <c r="C544" s="4"/>
      <c r="D544" s="7" t="s">
        <v>1013</v>
      </c>
      <c r="E544" s="8" t="str">
        <f>IFERROR(__xludf.DUMMYFUNCTION("IF(
  LEN(TRIM(D544))=0,
  ""왼쪽에 영어 문장을 입력하세요"",
  GOOGLETRANSLATE(D544,""en"",""ko"")
)"),"절박한 상황")</f>
        <v>절박한 상황</v>
      </c>
      <c r="F544" s="9" t="s">
        <v>1014</v>
      </c>
    </row>
    <row r="545" ht="20.25" customHeight="1">
      <c r="A545" s="5">
        <v>611.0</v>
      </c>
      <c r="B545" s="6">
        <v>251224.0</v>
      </c>
      <c r="C545" s="4"/>
      <c r="D545" s="7" t="s">
        <v>1015</v>
      </c>
      <c r="E545" s="8" t="str">
        <f>IFERROR(__xludf.DUMMYFUNCTION("IF(
  LEN(TRIM(D545))=0,
  ""왼쪽에 영어 문장을 입력하세요"",
  GOOGLETRANSLATE(D545,""en"",""ko"")
)"),"후원자")</f>
        <v>후원자</v>
      </c>
      <c r="F545" s="9" t="s">
        <v>1016</v>
      </c>
    </row>
    <row r="546" ht="20.25" customHeight="1">
      <c r="A546" s="5">
        <v>612.0</v>
      </c>
      <c r="B546" s="6">
        <v>251224.0</v>
      </c>
      <c r="C546" s="4"/>
      <c r="D546" s="7" t="s">
        <v>1017</v>
      </c>
      <c r="E546" s="8" t="str">
        <f>IFERROR(__xludf.DUMMYFUNCTION("IF(
  LEN(TRIM(D546))=0,
  ""왼쪽에 영어 문장을 입력하세요"",
  GOOGLETRANSLATE(D546,""en"",""ko"")
)"),"후원")</f>
        <v>후원</v>
      </c>
      <c r="F546" s="9" t="s">
        <v>1018</v>
      </c>
    </row>
    <row r="547" ht="20.25" customHeight="1">
      <c r="A547" s="5">
        <v>613.0</v>
      </c>
      <c r="B547" s="6">
        <v>251224.0</v>
      </c>
      <c r="C547" s="4"/>
      <c r="D547" s="7" t="s">
        <v>1019</v>
      </c>
      <c r="E547" s="8" t="str">
        <f>IFERROR(__xludf.DUMMYFUNCTION("IF(
  LEN(TRIM(D547))=0,
  ""왼쪽에 영어 문장을 입력하세요"",
  GOOGLETRANSLATE(D547,""en"",""ko"")
)"),"곡창")</f>
        <v>곡창</v>
      </c>
      <c r="F547" s="9" t="s">
        <v>1020</v>
      </c>
    </row>
    <row r="548" ht="20.25" customHeight="1">
      <c r="A548" s="5">
        <v>614.0</v>
      </c>
      <c r="B548" s="6">
        <v>251224.0</v>
      </c>
      <c r="C548" s="4"/>
      <c r="D548" s="7" t="s">
        <v>1021</v>
      </c>
      <c r="E548" s="8" t="str">
        <f>IFERROR(__xludf.DUMMYFUNCTION("IF(
  LEN(TRIM(D548))=0,
  ""왼쪽에 영어 문장을 입력하세요"",
  GOOGLETRANSLATE(D548,""en"",""ko"")
)"),"번창하다")</f>
        <v>번창하다</v>
      </c>
      <c r="F548" s="9" t="s">
        <v>1022</v>
      </c>
    </row>
    <row r="549" ht="20.25" customHeight="1">
      <c r="A549" s="5">
        <v>615.0</v>
      </c>
      <c r="B549" s="6">
        <v>251224.0</v>
      </c>
      <c r="C549" s="4"/>
      <c r="D549" s="7" t="s">
        <v>1023</v>
      </c>
      <c r="E549" s="8" t="str">
        <f>IFERROR(__xludf.DUMMYFUNCTION("IF(
  LEN(TRIM(D549))=0,
  ""왼쪽에 영어 문장을 입력하세요"",
  GOOGLETRANSLATE(D549,""en"",""ko"")
)"),"당신이 만든 음식을 맛볼 수 있는 날을 손꼽아 기다렸어요.")</f>
        <v>당신이 만든 음식을 맛볼 수 있는 날을 손꼽아 기다렸어요.</v>
      </c>
      <c r="F549" s="9" t="s">
        <v>1024</v>
      </c>
    </row>
    <row r="550" ht="20.25" customHeight="1">
      <c r="A550" s="5">
        <v>616.0</v>
      </c>
      <c r="B550" s="6">
        <v>251224.0</v>
      </c>
      <c r="C550" s="4"/>
      <c r="D550" s="7" t="s">
        <v>1025</v>
      </c>
      <c r="E550" s="8" t="str">
        <f>IFERROR(__xludf.DUMMYFUNCTION("IF(
  LEN(TRIM(D550))=0,
  ""왼쪽에 영어 문장을 입력하세요"",
  GOOGLETRANSLATE(D550,""en"",""ko"")
)"),"진부한")</f>
        <v>진부한</v>
      </c>
      <c r="F550" s="9" t="s">
        <v>1026</v>
      </c>
    </row>
    <row r="551" ht="20.25" customHeight="1">
      <c r="A551" s="5">
        <v>617.0</v>
      </c>
      <c r="B551" s="6">
        <v>251224.0</v>
      </c>
      <c r="C551" s="4"/>
      <c r="D551" s="7" t="s">
        <v>1027</v>
      </c>
      <c r="E551" s="8" t="str">
        <f>IFERROR(__xludf.DUMMYFUNCTION("IF(
  LEN(TRIM(D551))=0,
  ""왼쪽에 영어 문장을 입력하세요"",
  GOOGLETRANSLATE(D551,""en"",""ko"")
)"),"애정")</f>
        <v>애정</v>
      </c>
      <c r="F551" s="9" t="s">
        <v>1028</v>
      </c>
    </row>
    <row r="552" ht="20.25" customHeight="1">
      <c r="A552" s="5">
        <v>618.0</v>
      </c>
      <c r="B552" s="6">
        <v>251224.0</v>
      </c>
      <c r="C552" s="4"/>
      <c r="D552" s="7" t="s">
        <v>1029</v>
      </c>
      <c r="E552" s="8" t="str">
        <f>IFERROR(__xludf.DUMMYFUNCTION("IF(
  LEN(TRIM(D552))=0,
  ""왼쪽에 영어 문장을 입력하세요"",
  GOOGLETRANSLATE(D552,""en"",""ko"")
)"),"공물")</f>
        <v>공물</v>
      </c>
      <c r="F552" s="9" t="s">
        <v>1030</v>
      </c>
    </row>
    <row r="553" ht="20.25" customHeight="1">
      <c r="A553" s="5">
        <v>619.0</v>
      </c>
      <c r="B553" s="6">
        <v>251224.0</v>
      </c>
      <c r="C553" s="4"/>
      <c r="D553" s="7" t="s">
        <v>1031</v>
      </c>
      <c r="E553" s="8" t="str">
        <f>IFERROR(__xludf.DUMMYFUNCTION("IF(
  LEN(TRIM(D553))=0,
  ""왼쪽에 영어 문장을 입력하세요"",
  GOOGLETRANSLATE(D553,""en"",""ko"")
)"),"불타는")</f>
        <v>불타는</v>
      </c>
      <c r="F553" s="9" t="s">
        <v>1032</v>
      </c>
    </row>
    <row r="554" ht="20.25" customHeight="1">
      <c r="A554" s="5">
        <v>620.0</v>
      </c>
      <c r="B554" s="6">
        <v>251224.0</v>
      </c>
      <c r="C554" s="4"/>
      <c r="D554" s="7" t="s">
        <v>1033</v>
      </c>
      <c r="E554" s="8" t="str">
        <f>IFERROR(__xludf.DUMMYFUNCTION("IF(
  LEN(TRIM(D554))=0,
  ""왼쪽에 영어 문장을 입력하세요"",
  GOOGLETRANSLATE(D554,""en"",""ko"")
)"),"인기 있는")</f>
        <v>인기 있는</v>
      </c>
      <c r="F554" s="9" t="s">
        <v>1034</v>
      </c>
    </row>
    <row r="555" ht="20.25" customHeight="1">
      <c r="A555" s="5">
        <v>621.0</v>
      </c>
      <c r="B555" s="6">
        <v>251224.0</v>
      </c>
      <c r="C555" s="4"/>
      <c r="D555" s="7" t="s">
        <v>1035</v>
      </c>
      <c r="E555" s="8" t="str">
        <f>IFERROR(__xludf.DUMMYFUNCTION("IF(
  LEN(TRIM(D555))=0,
  ""왼쪽에 영어 문장을 입력하세요"",
  GOOGLETRANSLATE(D555,""en"",""ko"")
)"),"짝퉁")</f>
        <v>짝퉁</v>
      </c>
      <c r="F555" s="9" t="s">
        <v>1036</v>
      </c>
    </row>
    <row r="556" ht="20.25" customHeight="1">
      <c r="A556" s="5">
        <v>622.0</v>
      </c>
      <c r="B556" s="6">
        <v>251224.0</v>
      </c>
      <c r="C556" s="4"/>
      <c r="D556" s="7" t="s">
        <v>1037</v>
      </c>
      <c r="E556" s="8" t="str">
        <f>IFERROR(__xludf.DUMMYFUNCTION("IF(
  LEN(TRIM(D556))=0,
  ""왼쪽에 영어 문장을 입력하세요"",
  GOOGLETRANSLATE(D556,""en"",""ko"")
)"),"누군가 태국 음식인 그린 커리를 만들어 보기로 했는데, 식당에서 사 먹으면 15,000원 ​​정도 든다고 가정해 봅시다.
그런데 결국 두 배나 비싼 돈을 주고 사야 했고, 맛은 절반밖에 안 됐어요.")</f>
        <v>누군가 태국 음식인 그린 커리를 만들어 보기로 했는데, 식당에서 사 먹으면 15,000원 ​​정도 든다고 가정해 봅시다.
그런데 결국 두 배나 비싼 돈을 주고 사야 했고, 맛은 절반밖에 안 됐어요.</v>
      </c>
      <c r="F556" s="9" t="s">
        <v>1038</v>
      </c>
    </row>
    <row r="557" ht="20.25" customHeight="1">
      <c r="A557" s="5">
        <v>623.0</v>
      </c>
      <c r="B557" s="6">
        <v>251224.0</v>
      </c>
      <c r="C557" s="4"/>
      <c r="D557" s="7" t="s">
        <v>1039</v>
      </c>
      <c r="E557" s="8" t="str">
        <f>IFERROR(__xludf.DUMMYFUNCTION("IF(
  LEN(TRIM(D557))=0,
  ""왼쪽에 영어 문장을 입력하세요"",
  GOOGLETRANSLATE(D557,""en"",""ko"")
)"),"기만적으로")</f>
        <v>기만적으로</v>
      </c>
      <c r="F557" s="9" t="s">
        <v>1040</v>
      </c>
    </row>
    <row r="558" ht="20.25" customHeight="1">
      <c r="A558" s="5">
        <v>624.0</v>
      </c>
      <c r="B558" s="6">
        <v>251224.0</v>
      </c>
      <c r="C558" s="4"/>
      <c r="D558" s="7" t="s">
        <v>1041</v>
      </c>
      <c r="E558" s="8" t="str">
        <f>IFERROR(__xludf.DUMMYFUNCTION("IF(
  LEN(TRIM(D558))=0,
  ""왼쪽에 영어 문장을 입력하세요"",
  GOOGLETRANSLATE(D558,""en"",""ko"")
)"),"은밀하게")</f>
        <v>은밀하게</v>
      </c>
      <c r="F558" s="9" t="s">
        <v>1042</v>
      </c>
    </row>
    <row r="559" ht="20.25" customHeight="1">
      <c r="A559" s="5">
        <v>625.0</v>
      </c>
      <c r="B559" s="6">
        <v>251224.0</v>
      </c>
      <c r="C559" s="4"/>
      <c r="D559" s="7" t="s">
        <v>1043</v>
      </c>
      <c r="E559" s="8" t="str">
        <f>IFERROR(__xludf.DUMMYFUNCTION("IF(
  LEN(TRIM(D559))=0,
  ""왼쪽에 영어 문장을 입력하세요"",
  GOOGLETRANSLATE(D559,""en"",""ko"")
)"),"푼돈과 10센트")</f>
        <v>푼돈과 10센트</v>
      </c>
      <c r="F559" s="9" t="s">
        <v>1044</v>
      </c>
    </row>
    <row r="560" ht="20.25" customHeight="1">
      <c r="A560" s="5">
        <v>626.0</v>
      </c>
      <c r="B560" s="6">
        <v>251224.0</v>
      </c>
      <c r="C560" s="4"/>
      <c r="D560" s="7" t="s">
        <v>1045</v>
      </c>
      <c r="E560" s="8" t="str">
        <f>IFERROR(__xludf.DUMMYFUNCTION("IF(
  LEN(TRIM(D560))=0,
  ""왼쪽에 영어 문장을 입력하세요"",
  GOOGLETRANSLATE(D560,""en"",""ko"")
)"),"대주")</f>
        <v>대주</v>
      </c>
      <c r="F560" s="9" t="s">
        <v>1046</v>
      </c>
    </row>
    <row r="561" ht="20.25" customHeight="1">
      <c r="A561" s="5">
        <v>627.0</v>
      </c>
      <c r="B561" s="6">
        <v>251224.0</v>
      </c>
      <c r="C561" s="4"/>
      <c r="D561" s="7" t="s">
        <v>554</v>
      </c>
      <c r="E561" s="8" t="str">
        <f>IFERROR(__xludf.DUMMYFUNCTION("IF(
  LEN(TRIM(D561))=0,
  ""왼쪽에 영어 문장을 입력하세요"",
  GOOGLETRANSLATE(D561,""en"",""ko"")
)"),"늪")</f>
        <v>늪</v>
      </c>
      <c r="F561" s="9" t="s">
        <v>1047</v>
      </c>
    </row>
    <row r="562" ht="20.25" customHeight="1">
      <c r="A562" s="5">
        <v>628.0</v>
      </c>
      <c r="B562" s="6">
        <v>251224.0</v>
      </c>
      <c r="C562" s="4"/>
      <c r="D562" s="7" t="s">
        <v>1048</v>
      </c>
      <c r="E562" s="8" t="str">
        <f>IFERROR(__xludf.DUMMYFUNCTION("IF(
  LEN(TRIM(D562))=0,
  ""왼쪽에 영어 문장을 입력하세요"",
  GOOGLETRANSLATE(D562,""en"",""ko"")
)"),"역화")</f>
        <v>역화</v>
      </c>
      <c r="F562" s="9" t="s">
        <v>1049</v>
      </c>
    </row>
    <row r="563" ht="20.25" customHeight="1">
      <c r="A563" s="5">
        <v>629.0</v>
      </c>
      <c r="B563" s="6">
        <v>251224.0</v>
      </c>
      <c r="C563" s="4"/>
      <c r="D563" s="7" t="s">
        <v>1050</v>
      </c>
      <c r="E563" s="8" t="str">
        <f>IFERROR(__xludf.DUMMYFUNCTION("IF(
  LEN(TRIM(D563))=0,
  ""왼쪽에 영어 문장을 입력하세요"",
  GOOGLETRANSLATE(D563,""en"",""ko"")
)"),"진흙")</f>
        <v>진흙</v>
      </c>
      <c r="F563" s="9" t="s">
        <v>1051</v>
      </c>
    </row>
    <row r="564" ht="20.25" customHeight="1">
      <c r="A564" s="5">
        <v>630.0</v>
      </c>
      <c r="B564" s="6">
        <v>251224.0</v>
      </c>
      <c r="C564" s="4"/>
      <c r="D564" s="7" t="s">
        <v>1052</v>
      </c>
      <c r="E564" s="8" t="str">
        <f>IFERROR(__xludf.DUMMYFUNCTION("IF(
  LEN(TRIM(D564))=0,
  ""왼쪽에 영어 문장을 입력하세요"",
  GOOGLETRANSLATE(D564,""en"",""ko"")
)"),"암퇘지")</f>
        <v>암퇘지</v>
      </c>
      <c r="F564" s="9" t="s">
        <v>1053</v>
      </c>
    </row>
    <row r="565" ht="20.25" customHeight="1">
      <c r="A565" s="5">
        <v>631.0</v>
      </c>
      <c r="B565" s="6">
        <v>251224.0</v>
      </c>
      <c r="C565" s="4"/>
      <c r="D565" s="7" t="s">
        <v>1054</v>
      </c>
      <c r="E565" s="8" t="str">
        <f>IFERROR(__xludf.DUMMYFUNCTION("IF(
  LEN(TRIM(D565))=0,
  ""왼쪽에 영어 문장을 입력하세요"",
  GOOGLETRANSLATE(D565,""en"",""ko"")
)"),"무모한")</f>
        <v>무모한</v>
      </c>
      <c r="F565" s="9" t="s">
        <v>696</v>
      </c>
    </row>
    <row r="566" ht="20.25" customHeight="1">
      <c r="A566" s="5">
        <v>632.0</v>
      </c>
      <c r="B566" s="6">
        <v>251224.0</v>
      </c>
      <c r="C566" s="4"/>
      <c r="D566" s="7" t="s">
        <v>1055</v>
      </c>
      <c r="E566" s="8" t="str">
        <f>IFERROR(__xludf.DUMMYFUNCTION("IF(
  LEN(TRIM(D566))=0,
  ""왼쪽에 영어 문장을 입력하세요"",
  GOOGLETRANSLATE(D566,""en"",""ko"")
)"),"남용")</f>
        <v>남용</v>
      </c>
      <c r="F566" s="9" t="s">
        <v>1056</v>
      </c>
    </row>
    <row r="567" ht="20.25" customHeight="1">
      <c r="A567" s="5">
        <v>633.0</v>
      </c>
      <c r="B567" s="6">
        <v>251224.0</v>
      </c>
      <c r="C567" s="4"/>
      <c r="D567" s="7" t="s">
        <v>1057</v>
      </c>
      <c r="E567" s="8" t="str">
        <f>IFERROR(__xludf.DUMMYFUNCTION("IF(
  LEN(TRIM(D567))=0,
  ""왼쪽에 영어 문장을 입력하세요"",
  GOOGLETRANSLATE(D567,""en"",""ko"")
)"),"양 같은")</f>
        <v>양 같은</v>
      </c>
      <c r="F567" s="9" t="s">
        <v>1058</v>
      </c>
    </row>
    <row r="568" ht="20.25" customHeight="1">
      <c r="A568" s="5">
        <v>634.0</v>
      </c>
      <c r="B568" s="6">
        <v>251224.0</v>
      </c>
      <c r="C568" s="4"/>
      <c r="D568" s="7" t="s">
        <v>1059</v>
      </c>
      <c r="E568" s="8" t="str">
        <f>IFERROR(__xludf.DUMMYFUNCTION("IF(
  LEN(TRIM(D568))=0,
  ""왼쪽에 영어 문장을 입력하세요"",
  GOOGLETRANSLATE(D568,""en"",""ko"")
)"),"절약")</f>
        <v>절약</v>
      </c>
      <c r="F568" s="9" t="s">
        <v>1060</v>
      </c>
    </row>
    <row r="569" ht="20.25" customHeight="1">
      <c r="A569" s="5">
        <v>635.0</v>
      </c>
      <c r="B569" s="6">
        <v>251224.0</v>
      </c>
      <c r="C569" s="4"/>
      <c r="D569" s="7" t="s">
        <v>1061</v>
      </c>
      <c r="E569" s="8" t="str">
        <f>IFERROR(__xludf.DUMMYFUNCTION("IF(
  LEN(TRIM(D569))=0,
  ""왼쪽에 영어 문장을 입력하세요"",
  GOOGLETRANSLATE(D569,""en"",""ko"")
)"),"청각 장애가 있는 해에 떨어집니다")</f>
        <v>청각 장애가 있는 해에 떨어집니다</v>
      </c>
      <c r="F569" s="9" t="s">
        <v>1062</v>
      </c>
    </row>
    <row r="570" ht="20.25" customHeight="1">
      <c r="A570" s="5">
        <v>636.0</v>
      </c>
      <c r="B570" s="6">
        <v>251224.0</v>
      </c>
      <c r="C570" s="4"/>
      <c r="D570" s="7" t="s">
        <v>1063</v>
      </c>
      <c r="E570" s="8" t="str">
        <f>IFERROR(__xludf.DUMMYFUNCTION("IF(
  LEN(TRIM(D570))=0,
  ""왼쪽에 영어 문장을 입력하세요"",
  GOOGLETRANSLATE(D570,""en"",""ko"")
)"),"우리의 요청은 묵살당했다")</f>
        <v>우리의 요청은 묵살당했다</v>
      </c>
      <c r="F570" s="9" t="s">
        <v>1064</v>
      </c>
    </row>
    <row r="571" ht="20.25" customHeight="1">
      <c r="A571" s="5">
        <v>637.0</v>
      </c>
      <c r="B571" s="6">
        <v>251224.0</v>
      </c>
      <c r="C571" s="4"/>
      <c r="D571" s="7" t="s">
        <v>1065</v>
      </c>
      <c r="E571" s="8" t="str">
        <f>IFERROR(__xludf.DUMMYFUNCTION("IF(
  LEN(TRIM(D571))=0,
  ""왼쪽에 영어 문장을 입력하세요"",
  GOOGLETRANSLATE(D571,""en"",""ko"")
)"),"달래다")</f>
        <v>달래다</v>
      </c>
      <c r="F571" s="9" t="s">
        <v>1066</v>
      </c>
    </row>
    <row r="572" ht="20.25" customHeight="1">
      <c r="A572" s="5">
        <v>638.0</v>
      </c>
      <c r="B572" s="6">
        <v>251224.0</v>
      </c>
      <c r="C572" s="4"/>
      <c r="D572" s="7" t="s">
        <v>1067</v>
      </c>
      <c r="E572" s="8" t="str">
        <f>IFERROR(__xludf.DUMMYFUNCTION("IF(
  LEN(TRIM(D572))=0,
  ""왼쪽에 영어 문장을 입력하세요"",
  GOOGLETRANSLATE(D572,""en"",""ko"")
)"),"오늘 하루를 만끽하자")</f>
        <v>오늘 하루를 만끽하자</v>
      </c>
      <c r="F572" s="9" t="s">
        <v>1068</v>
      </c>
    </row>
    <row r="573" ht="20.25" customHeight="1">
      <c r="A573" s="5">
        <v>639.0</v>
      </c>
      <c r="B573" s="6">
        <v>251224.0</v>
      </c>
      <c r="C573" s="4"/>
      <c r="D573" s="7" t="s">
        <v>1069</v>
      </c>
      <c r="E573" s="8" t="str">
        <f>IFERROR(__xludf.DUMMYFUNCTION("IF(
  LEN(TRIM(D573))=0,
  ""왼쪽에 영어 문장을 입력하세요"",
  GOOGLETRANSLATE(D573,""en"",""ko"")
)"),"선물 주셔서 감사합니다. 덕분에 오늘 하루가 행복해졌어요.")</f>
        <v>선물 주셔서 감사합니다. 덕분에 오늘 하루가 행복해졌어요.</v>
      </c>
      <c r="F573" s="9" t="s">
        <v>1070</v>
      </c>
    </row>
    <row r="574" ht="20.25" customHeight="1">
      <c r="A574" s="5">
        <v>640.0</v>
      </c>
      <c r="B574" s="6">
        <v>251224.0</v>
      </c>
      <c r="C574" s="4"/>
      <c r="D574" s="7" t="s">
        <v>1071</v>
      </c>
      <c r="E574" s="8" t="str">
        <f>IFERROR(__xludf.DUMMYFUNCTION("IF(
  LEN(TRIM(D574))=0,
  ""왼쪽에 영어 문장을 입력하세요"",
  GOOGLETRANSLATE(D574,""en"",""ko"")
)"),"바꿔보세요")</f>
        <v>바꿔보세요</v>
      </c>
      <c r="F574" s="9" t="s">
        <v>1072</v>
      </c>
    </row>
    <row r="575" ht="20.25" customHeight="1">
      <c r="A575" s="5">
        <v>641.0</v>
      </c>
      <c r="B575" s="6">
        <v>251224.0</v>
      </c>
      <c r="C575" s="4"/>
      <c r="D575" s="7" t="s">
        <v>1073</v>
      </c>
      <c r="E575" s="8" t="str">
        <f>IFERROR(__xludf.DUMMYFUNCTION("IF(
  LEN(TRIM(D575))=0,
  ""왼쪽에 영어 문장을 입력하세요"",
  GOOGLETRANSLATE(D575,""en"",""ko"")
)"),"밤색")</f>
        <v>밤색</v>
      </c>
      <c r="F575" s="9" t="s">
        <v>1074</v>
      </c>
    </row>
    <row r="576" ht="20.25" customHeight="1">
      <c r="A576" s="5">
        <v>642.0</v>
      </c>
      <c r="B576" s="6">
        <v>251224.0</v>
      </c>
      <c r="C576" s="4"/>
      <c r="D576" s="7" t="s">
        <v>1075</v>
      </c>
      <c r="E576" s="8" t="str">
        <f>IFERROR(__xludf.DUMMYFUNCTION("IF(
  LEN(TRIM(D576))=0,
  ""왼쪽에 영어 문장을 입력하세요"",
  GOOGLETRANSLATE(D576,""en"",""ko"")
)"),"복부")</f>
        <v>복부</v>
      </c>
      <c r="F576" s="9" t="s">
        <v>1076</v>
      </c>
    </row>
    <row r="577" ht="20.25" customHeight="1">
      <c r="A577" s="5">
        <v>643.0</v>
      </c>
      <c r="B577" s="6">
        <v>251224.0</v>
      </c>
      <c r="C577" s="4"/>
      <c r="D577" s="7" t="s">
        <v>1077</v>
      </c>
      <c r="E577" s="8" t="str">
        <f>IFERROR(__xludf.DUMMYFUNCTION("IF(
  LEN(TRIM(D577))=0,
  ""왼쪽에 영어 문장을 입력하세요"",
  GOOGLETRANSLATE(D577,""en"",""ko"")
)"),"베일")</f>
        <v>베일</v>
      </c>
      <c r="F577" s="9" t="s">
        <v>1078</v>
      </c>
    </row>
    <row r="578" ht="20.25" customHeight="1">
      <c r="A578" s="5">
        <v>644.0</v>
      </c>
      <c r="B578" s="6">
        <v>251224.0</v>
      </c>
      <c r="C578" s="4"/>
      <c r="D578" s="7" t="s">
        <v>1079</v>
      </c>
      <c r="E578" s="8" t="str">
        <f>IFERROR(__xludf.DUMMYFUNCTION("IF(
  LEN(TRIM(D578))=0,
  ""왼쪽에 영어 문장을 입력하세요"",
  GOOGLETRANSLATE(D578,""en"",""ko"")
)"),"복장")</f>
        <v>복장</v>
      </c>
      <c r="F578" s="9" t="s">
        <v>1080</v>
      </c>
    </row>
    <row r="579" ht="20.25" customHeight="1">
      <c r="A579" s="5">
        <v>645.0</v>
      </c>
      <c r="B579" s="6">
        <v>251224.0</v>
      </c>
      <c r="C579" s="4"/>
      <c r="D579" s="7" t="s">
        <v>1081</v>
      </c>
      <c r="E579" s="8" t="str">
        <f>IFERROR(__xludf.DUMMYFUNCTION("IF(
  LEN(TRIM(D579))=0,
  ""왼쪽에 영어 문장을 입력하세요"",
  GOOGLETRANSLATE(D579,""en"",""ko"")
)"),"동등한")</f>
        <v>동등한</v>
      </c>
      <c r="F579" s="9" t="s">
        <v>1082</v>
      </c>
    </row>
    <row r="580" ht="20.25" customHeight="1">
      <c r="A580" s="5">
        <v>646.0</v>
      </c>
      <c r="B580" s="6">
        <v>251224.0</v>
      </c>
      <c r="C580" s="4"/>
      <c r="D580" s="7" t="s">
        <v>1083</v>
      </c>
      <c r="E580" s="8" t="str">
        <f>IFERROR(__xludf.DUMMYFUNCTION("IF(
  LEN(TRIM(D580))=0,
  ""왼쪽에 영어 문장을 입력하세요"",
  GOOGLETRANSLATE(D580,""en"",""ko"")
)"),"박해")</f>
        <v>박해</v>
      </c>
      <c r="F580" s="9" t="s">
        <v>1084</v>
      </c>
    </row>
    <row r="581" ht="20.25" customHeight="1">
      <c r="A581" s="5">
        <v>647.0</v>
      </c>
      <c r="B581" s="6">
        <v>251224.0</v>
      </c>
      <c r="C581" s="4"/>
      <c r="D581" s="7" t="s">
        <v>1085</v>
      </c>
      <c r="E581" s="8" t="str">
        <f>IFERROR(__xludf.DUMMYFUNCTION("IF(
  LEN(TRIM(D581))=0,
  ""왼쪽에 영어 문장을 입력하세요"",
  GOOGLETRANSLATE(D581,""en"",""ko"")
)"),"받치다")</f>
        <v>받치다</v>
      </c>
      <c r="F581" s="9" t="s">
        <v>1086</v>
      </c>
    </row>
    <row r="582" ht="20.25" customHeight="1">
      <c r="A582" s="5">
        <v>648.0</v>
      </c>
      <c r="B582" s="6">
        <v>251224.0</v>
      </c>
      <c r="C582" s="4"/>
      <c r="D582" s="7" t="s">
        <v>1087</v>
      </c>
      <c r="E582" s="8" t="str">
        <f>IFERROR(__xludf.DUMMYFUNCTION("IF(
  LEN(TRIM(D582))=0,
  ""왼쪽에 영어 문장을 입력하세요"",
  GOOGLETRANSLATE(D582,""en"",""ko"")
)"),"컴퓨팅")</f>
        <v>컴퓨팅</v>
      </c>
      <c r="F582" s="9" t="s">
        <v>1088</v>
      </c>
    </row>
    <row r="583" ht="20.25" customHeight="1">
      <c r="A583" s="5">
        <v>649.0</v>
      </c>
      <c r="B583" s="6">
        <v>251224.0</v>
      </c>
      <c r="C583" s="4"/>
      <c r="D583" s="7" t="s">
        <v>1089</v>
      </c>
      <c r="E583" s="8" t="str">
        <f>IFERROR(__xludf.DUMMYFUNCTION("IF(
  LEN(TRIM(D583))=0,
  ""왼쪽에 영어 문장을 입력하세요"",
  GOOGLETRANSLATE(D583,""en"",""ko"")
)"),"마찰")</f>
        <v>마찰</v>
      </c>
      <c r="F583" s="9" t="s">
        <v>1090</v>
      </c>
    </row>
    <row r="584" ht="20.25" customHeight="1">
      <c r="A584" s="5">
        <v>650.0</v>
      </c>
      <c r="B584" s="6">
        <v>251224.0</v>
      </c>
      <c r="C584" s="4"/>
      <c r="D584" s="7" t="s">
        <v>1091</v>
      </c>
      <c r="E584" s="8" t="str">
        <f>IFERROR(__xludf.DUMMYFUNCTION("IF(
  LEN(TRIM(D584))=0,
  ""왼쪽에 영어 문장을 입력하세요"",
  GOOGLETRANSLATE(D584,""en"",""ko"")
)"),"부릉")</f>
        <v>부릉</v>
      </c>
      <c r="F584" s="9" t="s">
        <v>1092</v>
      </c>
    </row>
    <row r="585" ht="20.25" customHeight="1">
      <c r="A585" s="5">
        <v>651.0</v>
      </c>
      <c r="B585" s="6">
        <v>251224.0</v>
      </c>
      <c r="C585" s="4"/>
      <c r="D585" s="7" t="s">
        <v>1093</v>
      </c>
      <c r="E585" s="8" t="str">
        <f>IFERROR(__xludf.DUMMYFUNCTION("IF(
  LEN(TRIM(D585))=0,
  ""왼쪽에 영어 문장을 입력하세요"",
  GOOGLETRANSLATE(D585,""en"",""ko"")
)"),"으르렁거림")</f>
        <v>으르렁거림</v>
      </c>
      <c r="F585" s="9" t="s">
        <v>1094</v>
      </c>
    </row>
    <row r="586" ht="20.25" customHeight="1">
      <c r="A586" s="5">
        <v>652.0</v>
      </c>
      <c r="B586" s="6">
        <v>251224.0</v>
      </c>
      <c r="C586" s="4"/>
      <c r="D586" s="7" t="s">
        <v>1095</v>
      </c>
      <c r="E586" s="8" t="str">
        <f>IFERROR(__xludf.DUMMYFUNCTION("IF(
  LEN(TRIM(D586))=0,
  ""왼쪽에 영어 문장을 입력하세요"",
  GOOGLETRANSLATE(D586,""en"",""ko"")
)"),"제게 정말 행운이었던 게 뭔지 아세요? 바로 당신을 만난 거예요. 정말 우연한 만남이었죠.")</f>
        <v>제게 정말 행운이었던 게 뭔지 아세요? 바로 당신을 만난 거예요. 정말 우연한 만남이었죠.</v>
      </c>
      <c r="F586" s="9" t="s">
        <v>1096</v>
      </c>
    </row>
    <row r="587" ht="20.25" customHeight="1">
      <c r="A587" s="5">
        <v>653.0</v>
      </c>
      <c r="B587" s="6">
        <v>251224.0</v>
      </c>
      <c r="C587" s="4"/>
      <c r="D587" s="7" t="s">
        <v>1097</v>
      </c>
      <c r="E587" s="8" t="str">
        <f>IFERROR(__xludf.DUMMYFUNCTION("IF(
  LEN(TRIM(D587))=0,
  ""왼쪽에 영어 문장을 입력하세요"",
  GOOGLETRANSLATE(D587,""en"",""ko"")
)"),"행운")</f>
        <v>행운</v>
      </c>
      <c r="F587" s="9" t="s">
        <v>1098</v>
      </c>
    </row>
    <row r="588" ht="20.25" customHeight="1">
      <c r="A588" s="5">
        <v>654.0</v>
      </c>
      <c r="B588" s="6">
        <v>251224.0</v>
      </c>
      <c r="C588" s="4"/>
      <c r="D588" s="7" t="s">
        <v>1099</v>
      </c>
      <c r="E588" s="8" t="str">
        <f>IFERROR(__xludf.DUMMYFUNCTION("IF(
  LEN(TRIM(D588))=0,
  ""왼쪽에 영어 문장을 입력하세요"",
  GOOGLETRANSLATE(D588,""en"",""ko"")
)"),"우연한 만남")</f>
        <v>우연한 만남</v>
      </c>
      <c r="F588" s="9" t="s">
        <v>1100</v>
      </c>
    </row>
    <row r="589" ht="20.25" customHeight="1">
      <c r="A589" s="5">
        <v>655.0</v>
      </c>
      <c r="B589" s="6">
        <v>251224.0</v>
      </c>
      <c r="C589" s="4"/>
      <c r="D589" s="7" t="s">
        <v>1101</v>
      </c>
      <c r="E589" s="8" t="str">
        <f>IFERROR(__xludf.DUMMYFUNCTION("IF(
  LEN(TRIM(D589))=0,
  ""왼쪽에 영어 문장을 입력하세요"",
  GOOGLETRANSLATE(D589,""en"",""ko"")
)"),"뇌성마비")</f>
        <v>뇌성마비</v>
      </c>
      <c r="F589" s="9" t="s">
        <v>1102</v>
      </c>
    </row>
    <row r="590" ht="20.25" customHeight="1">
      <c r="A590" s="5">
        <v>656.0</v>
      </c>
      <c r="B590" s="6">
        <v>251224.0</v>
      </c>
      <c r="C590" s="4"/>
      <c r="D590" s="7" t="s">
        <v>1103</v>
      </c>
      <c r="E590" s="8" t="str">
        <f>IFERROR(__xludf.DUMMYFUNCTION("IF(
  LEN(TRIM(D590))=0,
  ""왼쪽에 영어 문장을 입력하세요"",
  GOOGLETRANSLATE(D590,""en"",""ko"")
)"),"경련")</f>
        <v>경련</v>
      </c>
      <c r="F590" s="9" t="s">
        <v>1104</v>
      </c>
    </row>
    <row r="591" ht="20.25" customHeight="1">
      <c r="A591" s="5">
        <v>657.0</v>
      </c>
      <c r="B591" s="6">
        <v>251224.0</v>
      </c>
      <c r="C591" s="4"/>
      <c r="D591" s="7" t="s">
        <v>1105</v>
      </c>
      <c r="E591" s="8" t="str">
        <f>IFERROR(__xludf.DUMMYFUNCTION("IF(
  LEN(TRIM(D591))=0,
  ""왼쪽에 영어 문장을 입력하세요"",
  GOOGLETRANSLATE(D591,""en"",""ko"")
)"),"근육 경련")</f>
        <v>근육 경련</v>
      </c>
      <c r="F591" s="9" t="s">
        <v>1106</v>
      </c>
    </row>
    <row r="592" ht="20.25" customHeight="1">
      <c r="A592" s="5">
        <v>658.0</v>
      </c>
      <c r="B592" s="6">
        <v>251224.0</v>
      </c>
      <c r="C592" s="4"/>
      <c r="D592" s="7" t="s">
        <v>1107</v>
      </c>
      <c r="E592" s="8" t="str">
        <f>IFERROR(__xludf.DUMMYFUNCTION("IF(
  LEN(TRIM(D592))=0,
  ""왼쪽에 영어 문장을 입력하세요"",
  GOOGLETRANSLATE(D592,""en"",""ko"")
)"),"누군가를 차단하세요")</f>
        <v>누군가를 차단하세요</v>
      </c>
      <c r="F592" s="9" t="s">
        <v>1108</v>
      </c>
    </row>
    <row r="593" ht="20.25" customHeight="1">
      <c r="A593" s="5">
        <v>659.0</v>
      </c>
      <c r="B593" s="6">
        <v>251224.0</v>
      </c>
      <c r="C593" s="4"/>
      <c r="D593" s="7" t="s">
        <v>1109</v>
      </c>
      <c r="E593" s="8" t="str">
        <f>IFERROR(__xludf.DUMMYFUNCTION("IF(
  LEN(TRIM(D593))=0,
  ""왼쪽에 영어 문장을 입력하세요"",
  GOOGLETRANSLATE(D593,""en"",""ko"")
)"),"그레이비 트레인")</f>
        <v>그레이비 트레인</v>
      </c>
      <c r="F593" s="9" t="s">
        <v>1110</v>
      </c>
    </row>
    <row r="594" ht="20.25" customHeight="1">
      <c r="A594" s="5">
        <v>660.0</v>
      </c>
      <c r="B594" s="6">
        <v>251224.0</v>
      </c>
      <c r="C594" s="4"/>
      <c r="D594" s="7" t="s">
        <v>1111</v>
      </c>
      <c r="E594" s="8" t="str">
        <f>IFERROR(__xludf.DUMMYFUNCTION("IF(
  LEN(TRIM(D594))=0,
  ""왼쪽에 영어 문장을 입력하세요"",
  GOOGLETRANSLATE(D594,""en"",""ko"")
)"),"미역 수프")</f>
        <v>미역 수프</v>
      </c>
      <c r="F594" s="9" t="s">
        <v>1112</v>
      </c>
    </row>
    <row r="595" ht="20.25" customHeight="1">
      <c r="A595" s="5">
        <v>661.0</v>
      </c>
      <c r="B595" s="6">
        <v>251224.0</v>
      </c>
      <c r="C595" s="4"/>
      <c r="D595" s="7" t="s">
        <v>1113</v>
      </c>
      <c r="E595" s="8" t="str">
        <f>IFERROR(__xludf.DUMMYFUNCTION("IF(
  LEN(TRIM(D595))=0,
  ""왼쪽에 영어 문장을 입력하세요"",
  GOOGLETRANSLATE(D595,""en"",""ko"")
)"),"발효된 가오리")</f>
        <v>발효된 가오리</v>
      </c>
      <c r="F595" s="9" t="s">
        <v>1114</v>
      </c>
    </row>
    <row r="596" ht="20.25" customHeight="1">
      <c r="A596" s="5">
        <v>662.0</v>
      </c>
      <c r="B596" s="6">
        <v>251224.0</v>
      </c>
      <c r="C596" s="4"/>
      <c r="D596" s="7" t="s">
        <v>1115</v>
      </c>
      <c r="E596" s="8" t="str">
        <f>IFERROR(__xludf.DUMMYFUNCTION("IF(
  LEN(TRIM(D596))=0,
  ""왼쪽에 영어 문장을 입력하세요"",
  GOOGLETRANSLATE(D596,""en"",""ko"")
)"),"타격을 가하다")</f>
        <v>타격을 가하다</v>
      </c>
      <c r="F596" s="9" t="s">
        <v>1116</v>
      </c>
    </row>
    <row r="597" ht="20.25" customHeight="1">
      <c r="A597" s="5">
        <v>663.0</v>
      </c>
      <c r="B597" s="6">
        <v>251224.0</v>
      </c>
      <c r="C597" s="4"/>
      <c r="D597" s="7" t="s">
        <v>1117</v>
      </c>
      <c r="E597" s="8" t="str">
        <f>IFERROR(__xludf.DUMMYFUNCTION("IF(
  LEN(TRIM(D597))=0,
  ""왼쪽에 영어 문장을 입력하세요"",
  GOOGLETRANSLATE(D597,""en"",""ko"")
)"),"타격을 입다")</f>
        <v>타격을 입다</v>
      </c>
      <c r="F597" s="9" t="s">
        <v>1118</v>
      </c>
    </row>
    <row r="598" ht="20.25" customHeight="1">
      <c r="A598" s="5">
        <v>664.0</v>
      </c>
      <c r="B598" s="6">
        <v>251224.0</v>
      </c>
      <c r="C598" s="4"/>
      <c r="D598" s="7" t="s">
        <v>1119</v>
      </c>
      <c r="E598" s="8" t="str">
        <f>IFERROR(__xludf.DUMMYFUNCTION("IF(
  LEN(TRIM(D598))=0,
  ""왼쪽에 영어 문장을 입력하세요"",
  GOOGLETRANSLATE(D598,""en"",""ko"")
)"),"배기가스")</f>
        <v>배기가스</v>
      </c>
      <c r="F598" s="9" t="s">
        <v>1120</v>
      </c>
    </row>
    <row r="599" ht="20.25" customHeight="1">
      <c r="A599" s="5">
        <v>665.0</v>
      </c>
      <c r="B599" s="6">
        <v>251224.0</v>
      </c>
      <c r="C599" s="4"/>
      <c r="D599" s="7" t="s">
        <v>1121</v>
      </c>
      <c r="E599" s="8" t="str">
        <f>IFERROR(__xludf.DUMMYFUNCTION("IF(
  LEN(TRIM(D599))=0,
  ""왼쪽에 영어 문장을 입력하세요"",
  GOOGLETRANSLATE(D599,""en"",""ko"")
)"),"발암물질")</f>
        <v>발암물질</v>
      </c>
      <c r="F599" s="9" t="s">
        <v>1122</v>
      </c>
    </row>
    <row r="600" ht="20.25" customHeight="1">
      <c r="A600" s="5">
        <v>666.0</v>
      </c>
      <c r="B600" s="6">
        <v>251224.0</v>
      </c>
      <c r="C600" s="4"/>
      <c r="D600" s="7" t="s">
        <v>1123</v>
      </c>
      <c r="E600" s="8" t="str">
        <f>IFERROR(__xludf.DUMMYFUNCTION("IF(
  LEN(TRIM(D600))=0,
  ""왼쪽에 영어 문장을 입력하세요"",
  GOOGLETRANSLATE(D600,""en"",""ko"")
)"),"완화시키다")</f>
        <v>완화시키다</v>
      </c>
      <c r="F600" s="9" t="s">
        <v>1124</v>
      </c>
    </row>
    <row r="601" ht="20.25" customHeight="1">
      <c r="A601" s="5">
        <v>667.0</v>
      </c>
      <c r="B601" s="6">
        <v>251224.0</v>
      </c>
      <c r="C601" s="4"/>
      <c r="D601" s="7" t="s">
        <v>1125</v>
      </c>
      <c r="E601" s="8" t="str">
        <f>IFERROR(__xludf.DUMMYFUNCTION("IF(
  LEN(TRIM(D601))=0,
  ""왼쪽에 영어 문장을 입력하세요"",
  GOOGLETRANSLATE(D601,""en"",""ko"")
)"),"정통한")</f>
        <v>정통한</v>
      </c>
      <c r="F601" s="9" t="s">
        <v>1126</v>
      </c>
    </row>
    <row r="602" ht="20.25" customHeight="1">
      <c r="A602" s="5">
        <v>668.0</v>
      </c>
      <c r="B602" s="6">
        <v>251224.0</v>
      </c>
      <c r="C602" s="4"/>
      <c r="D602" s="7" t="s">
        <v>1127</v>
      </c>
      <c r="E602" s="8" t="str">
        <f>IFERROR(__xludf.DUMMYFUNCTION("IF(
  LEN(TRIM(D602))=0,
  ""왼쪽에 영어 문장을 입력하세요"",
  GOOGLETRANSLATE(D602,""en"",""ko"")
)"),"공모")</f>
        <v>공모</v>
      </c>
      <c r="F602" s="9" t="s">
        <v>1128</v>
      </c>
    </row>
    <row r="603" ht="20.25" customHeight="1">
      <c r="A603" s="5">
        <v>669.0</v>
      </c>
      <c r="B603" s="6">
        <v>251224.0</v>
      </c>
      <c r="C603" s="4"/>
      <c r="D603" s="7" t="s">
        <v>1129</v>
      </c>
      <c r="E603" s="8" t="str">
        <f>IFERROR(__xludf.DUMMYFUNCTION("IF(
  LEN(TRIM(D603))=0,
  ""왼쪽에 영어 문장을 입력하세요"",
  GOOGLETRANSLATE(D603,""en"",""ko"")
)"),"잘 속는 사람")</f>
        <v>잘 속는 사람</v>
      </c>
      <c r="F603" s="9" t="s">
        <v>1130</v>
      </c>
    </row>
    <row r="604" ht="20.25" customHeight="1">
      <c r="A604" s="5">
        <v>670.0</v>
      </c>
      <c r="B604" s="6">
        <v>251224.0</v>
      </c>
      <c r="C604" s="4"/>
      <c r="D604" s="7" t="s">
        <v>1131</v>
      </c>
      <c r="E604" s="8" t="str">
        <f>IFERROR(__xludf.DUMMYFUNCTION("IF(
  LEN(TRIM(D604))=0,
  ""왼쪽에 영어 문장을 입력하세요"",
  GOOGLETRANSLATE(D604,""en"",""ko"")
)"),"세상에 공짜 점심은 없다.")</f>
        <v>세상에 공짜 점심은 없다.</v>
      </c>
      <c r="F604" s="9" t="s">
        <v>1132</v>
      </c>
    </row>
    <row r="605" ht="20.25" customHeight="1">
      <c r="A605" s="5">
        <v>671.0</v>
      </c>
      <c r="B605" s="6">
        <v>251224.0</v>
      </c>
      <c r="C605" s="4"/>
      <c r="D605" s="7" t="s">
        <v>1133</v>
      </c>
      <c r="E605" s="8" t="str">
        <f>IFERROR(__xludf.DUMMYFUNCTION("IF(
  LEN(TRIM(D605))=0,
  ""왼쪽에 영어 문장을 입력하세요"",
  GOOGLETRANSLATE(D605,""en"",""ko"")
)"),"제가 밥 사드릴게요. 10년 동안 연락도 안 했잖아요. 그래서 가서 밥을 먹죠.
식사 후에, 그들은 당신을 다단계 판매에 끌어들이려고 해요.")</f>
        <v>제가 밥 사드릴게요. 10년 동안 연락도 안 했잖아요. 그래서 가서 밥을 먹죠.
식사 후에, 그들은 당신을 다단계 판매에 끌어들이려고 해요.</v>
      </c>
      <c r="F605" s="9" t="s">
        <v>1134</v>
      </c>
    </row>
    <row r="606" ht="20.25" customHeight="1">
      <c r="A606" s="5">
        <v>672.0</v>
      </c>
      <c r="B606" s="6">
        <v>251224.0</v>
      </c>
      <c r="C606" s="4"/>
      <c r="D606" s="7" t="s">
        <v>1135</v>
      </c>
      <c r="E606" s="8" t="str">
        <f>IFERROR(__xludf.DUMMYFUNCTION("IF(
  LEN(TRIM(D606))=0,
  ""왼쪽에 영어 문장을 입력하세요"",
  GOOGLETRANSLATE(D606,""en"",""ko"")
)"),"유령 같은")</f>
        <v>유령 같은</v>
      </c>
      <c r="F606" s="9" t="s">
        <v>1136</v>
      </c>
    </row>
    <row r="607" ht="20.25" customHeight="1">
      <c r="A607" s="5">
        <v>673.0</v>
      </c>
      <c r="B607" s="6">
        <v>251224.0</v>
      </c>
      <c r="C607" s="4"/>
      <c r="D607" s="7" t="s">
        <v>1137</v>
      </c>
      <c r="E607" s="8" t="str">
        <f>IFERROR(__xludf.DUMMYFUNCTION("IF(
  LEN(TRIM(D607))=0,
  ""왼쪽에 영어 문장을 입력하세요"",
  GOOGLETRANSLATE(D607,""en"",""ko"")
)"),"함정")</f>
        <v>함정</v>
      </c>
      <c r="F607" s="9" t="s">
        <v>1138</v>
      </c>
    </row>
    <row r="608" ht="20.25" customHeight="1">
      <c r="A608" s="5">
        <v>674.0</v>
      </c>
      <c r="B608" s="6">
        <v>251224.0</v>
      </c>
      <c r="C608" s="4"/>
      <c r="D608" s="7" t="s">
        <v>1139</v>
      </c>
      <c r="E608" s="8" t="str">
        <f>IFERROR(__xludf.DUMMYFUNCTION("IF(
  LEN(TRIM(D608))=0,
  ""왼쪽에 영어 문장을 입력하세요"",
  GOOGLETRANSLATE(D608,""en"",""ko"")
)"),"누군가에게 선물을 받았을 때, 그 선물에는 어떤 함정이 있을까요?")</f>
        <v>누군가에게 선물을 받았을 때, 그 선물에는 어떤 함정이 있을까요?</v>
      </c>
      <c r="F608" s="9" t="s">
        <v>1140</v>
      </c>
    </row>
    <row r="609" ht="20.25" customHeight="1">
      <c r="A609" s="5">
        <v>675.0</v>
      </c>
      <c r="B609" s="6">
        <v>251224.0</v>
      </c>
      <c r="C609" s="4"/>
      <c r="D609" s="7" t="s">
        <v>1141</v>
      </c>
      <c r="E609" s="8" t="str">
        <f>IFERROR(__xludf.DUMMYFUNCTION("IF(
  LEN(TRIM(D609))=0,
  ""왼쪽에 영어 문장을 입력하세요"",
  GOOGLETRANSLATE(D609,""en"",""ko"")
)"),"옆구리 살")</f>
        <v>옆구리 살</v>
      </c>
      <c r="F609" s="9" t="s">
        <v>1142</v>
      </c>
    </row>
    <row r="610" ht="20.25" customHeight="1">
      <c r="A610" s="5">
        <v>676.0</v>
      </c>
      <c r="B610" s="6">
        <v>251224.0</v>
      </c>
      <c r="C610" s="4"/>
      <c r="D610" s="7" t="s">
        <v>1143</v>
      </c>
      <c r="E610" s="8" t="str">
        <f>IFERROR(__xludf.DUMMYFUNCTION("IF(
  LEN(TRIM(D610))=0,
  ""왼쪽에 영어 문장을 입력하세요"",
  GOOGLETRANSLATE(D610,""en"",""ko"")
)"),"머핀탑")</f>
        <v>머핀탑</v>
      </c>
      <c r="F610" s="9" t="s">
        <v>1144</v>
      </c>
    </row>
    <row r="611" ht="20.25" customHeight="1">
      <c r="A611" s="5">
        <v>677.0</v>
      </c>
      <c r="B611" s="6">
        <v>251224.0</v>
      </c>
      <c r="C611" s="4"/>
      <c r="D611" s="7" t="s">
        <v>1145</v>
      </c>
      <c r="E611" s="8" t="str">
        <f>IFERROR(__xludf.DUMMYFUNCTION("IF(
  LEN(TRIM(D611))=0,
  ""왼쪽에 영어 문장을 입력하세요"",
  GOOGLETRANSLATE(D611,""en"",""ko"")
)"),"해결")</f>
        <v>해결</v>
      </c>
      <c r="F611" s="9" t="s">
        <v>1146</v>
      </c>
    </row>
    <row r="612" ht="20.25" customHeight="1">
      <c r="A612" s="5">
        <v>678.0</v>
      </c>
      <c r="B612" s="6">
        <v>251224.0</v>
      </c>
      <c r="C612" s="4"/>
      <c r="D612" s="7" t="s">
        <v>1147</v>
      </c>
      <c r="E612" s="8" t="str">
        <f>IFERROR(__xludf.DUMMYFUNCTION("IF(
  LEN(TRIM(D612))=0,
  ""왼쪽에 영어 문장을 입력하세요"",
  GOOGLETRANSLATE(D612,""en"",""ko"")
)"),"신경을 곤두세우는")</f>
        <v>신경을 곤두세우는</v>
      </c>
      <c r="F612" s="9" t="s">
        <v>1148</v>
      </c>
    </row>
    <row r="613" ht="20.25" customHeight="1">
      <c r="A613" s="5">
        <v>679.0</v>
      </c>
      <c r="B613" s="6">
        <v>251224.0</v>
      </c>
      <c r="C613" s="4"/>
      <c r="D613" s="7" t="s">
        <v>1149</v>
      </c>
      <c r="E613" s="8" t="str">
        <f>IFERROR(__xludf.DUMMYFUNCTION("IF(
  LEN(TRIM(D613))=0,
  ""왼쪽에 영어 문장을 입력하세요"",
  GOOGLETRANSLATE(D613,""en"",""ko"")
)"),"당신은 새해 결심을 세우는 사람인가요?")</f>
        <v>당신은 새해 결심을 세우는 사람인가요?</v>
      </c>
      <c r="F613" s="9" t="s">
        <v>1150</v>
      </c>
    </row>
    <row r="614" ht="20.25" customHeight="1">
      <c r="A614" s="5">
        <v>680.0</v>
      </c>
      <c r="B614" s="6">
        <v>251224.0</v>
      </c>
      <c r="C614" s="4"/>
      <c r="D614" s="7" t="s">
        <v>1151</v>
      </c>
      <c r="E614" s="8" t="str">
        <f>IFERROR(__xludf.DUMMYFUNCTION("IF(
  LEN(TRIM(D614))=0,
  ""왼쪽에 영어 문장을 입력하세요"",
  GOOGLETRANSLATE(D614,""en"",""ko"")
)"),"가슴이 두근거려요")</f>
        <v>가슴이 두근거려요</v>
      </c>
      <c r="F614" s="9" t="s">
        <v>1152</v>
      </c>
    </row>
    <row r="615" ht="20.25" customHeight="1">
      <c r="A615" s="5">
        <v>681.0</v>
      </c>
      <c r="B615" s="6">
        <v>251224.0</v>
      </c>
      <c r="C615" s="4"/>
      <c r="D615" s="7" t="s">
        <v>1153</v>
      </c>
      <c r="E615" s="8" t="str">
        <f>IFERROR(__xludf.DUMMYFUNCTION("IF(
  LEN(TRIM(D615))=0,
  ""왼쪽에 영어 문장을 입력하세요"",
  GOOGLETRANSLATE(D615,""en"",""ko"")
)"),"제발 제가 뭔가를 제안할 때마다 저를 비난하지 말아 주세요.")</f>
        <v>제발 제가 뭔가를 제안할 때마다 저를 비난하지 말아 주세요.</v>
      </c>
      <c r="F615" s="9" t="s">
        <v>1154</v>
      </c>
    </row>
    <row r="616" ht="20.25" customHeight="1">
      <c r="A616" s="5">
        <v>682.0</v>
      </c>
      <c r="B616" s="6">
        <v>251224.0</v>
      </c>
      <c r="C616" s="4"/>
      <c r="D616" s="7" t="s">
        <v>1155</v>
      </c>
      <c r="E616" s="8" t="str">
        <f>IFERROR(__xludf.DUMMYFUNCTION("IF(
  LEN(TRIM(D616))=0,
  ""왼쪽에 영어 문장을 입력하세요"",
  GOOGLETRANSLATE(D616,""en"",""ko"")
)"),"최선을 다하다")</f>
        <v>최선을 다하다</v>
      </c>
      <c r="F616" s="9" t="s">
        <v>1156</v>
      </c>
    </row>
    <row r="617" ht="20.25" customHeight="1">
      <c r="A617" s="5">
        <v>683.0</v>
      </c>
      <c r="B617" s="6">
        <v>251224.0</v>
      </c>
      <c r="C617" s="4"/>
      <c r="D617" s="7" t="s">
        <v>1157</v>
      </c>
      <c r="E617" s="8" t="str">
        <f>IFERROR(__xludf.DUMMYFUNCTION("IF(
  LEN(TRIM(D617))=0,
  ""왼쪽에 영어 문장을 입력하세요"",
  GOOGLETRANSLATE(D617,""en"",""ko"")
)"),"1인분 크기")</f>
        <v>1인분 크기</v>
      </c>
      <c r="F617" s="9" t="s">
        <v>1158</v>
      </c>
    </row>
    <row r="618" ht="20.25" customHeight="1">
      <c r="A618" s="5">
        <v>684.0</v>
      </c>
      <c r="B618" s="6">
        <v>251224.0</v>
      </c>
      <c r="C618" s="4"/>
      <c r="D618" s="7" t="s">
        <v>1159</v>
      </c>
      <c r="E618" s="8" t="str">
        <f>IFERROR(__xludf.DUMMYFUNCTION("IF(
  LEN(TRIM(D618))=0,
  ""왼쪽에 영어 문장을 입력하세요"",
  GOOGLETRANSLATE(D618,""en"",""ko"")
)"),"미국에서 음식 1인분 양이 점점 줄어들고 있습니다.")</f>
        <v>미국에서 음식 1인분 양이 점점 줄어들고 있습니다.</v>
      </c>
      <c r="F618" s="9" t="s">
        <v>1160</v>
      </c>
    </row>
    <row r="619" ht="20.25" customHeight="1">
      <c r="A619" s="5">
        <v>685.0</v>
      </c>
      <c r="B619" s="6">
        <v>251224.0</v>
      </c>
      <c r="C619" s="4"/>
      <c r="D619" s="7" t="s">
        <v>1161</v>
      </c>
      <c r="E619" s="8" t="str">
        <f>IFERROR(__xludf.DUMMYFUNCTION("IF(
  LEN(TRIM(D619))=0,
  ""왼쪽에 영어 문장을 입력하세요"",
  GOOGLETRANSLATE(D619,""en"",""ko"")
)"),"도랑")</f>
        <v>도랑</v>
      </c>
      <c r="F619" s="9" t="s">
        <v>1162</v>
      </c>
    </row>
    <row r="620" ht="20.25" customHeight="1">
      <c r="A620" s="5">
        <v>686.0</v>
      </c>
      <c r="B620" s="6">
        <v>251224.0</v>
      </c>
      <c r="C620" s="4"/>
      <c r="D620" s="7" t="s">
        <v>1163</v>
      </c>
      <c r="E620" s="8" t="str">
        <f>IFERROR(__xludf.DUMMYFUNCTION("IF(
  LEN(TRIM(D620))=0,
  ""왼쪽에 영어 문장을 입력하세요"",
  GOOGLETRANSLATE(D620,""en"",""ko"")
)"),"두려운")</f>
        <v>두려운</v>
      </c>
      <c r="F620" s="9" t="s">
        <v>1164</v>
      </c>
    </row>
    <row r="621" ht="20.25" customHeight="1">
      <c r="A621" s="5">
        <v>687.0</v>
      </c>
      <c r="B621" s="6">
        <v>251224.0</v>
      </c>
      <c r="C621" s="4"/>
      <c r="D621" s="7" t="s">
        <v>1165</v>
      </c>
      <c r="E621" s="8" t="str">
        <f>IFERROR(__xludf.DUMMYFUNCTION("IF(
  LEN(TRIM(D621))=0,
  ""왼쪽에 영어 문장을 입력하세요"",
  GOOGLETRANSLATE(D621,""en"",""ko"")
)"),"범죄자")</f>
        <v>범죄자</v>
      </c>
      <c r="F621" s="9" t="s">
        <v>1166</v>
      </c>
    </row>
    <row r="622" ht="20.25" customHeight="1">
      <c r="A622" s="5">
        <v>688.0</v>
      </c>
      <c r="B622" s="6">
        <v>251224.0</v>
      </c>
      <c r="C622" s="4"/>
      <c r="D622" s="7" t="s">
        <v>1167</v>
      </c>
      <c r="E622" s="8" t="str">
        <f>IFERROR(__xludf.DUMMYFUNCTION("IF(
  LEN(TRIM(D622))=0,
  ""왼쪽에 영어 문장을 입력하세요"",
  GOOGLETRANSLATE(D622,""en"",""ko"")
)"),"감기 기운이 느껴져요")</f>
        <v>감기 기운이 느껴져요</v>
      </c>
      <c r="F622" s="9" t="s">
        <v>1168</v>
      </c>
    </row>
    <row r="623" ht="20.25" customHeight="1">
      <c r="A623" s="5">
        <v>689.0</v>
      </c>
      <c r="B623" s="6">
        <v>251224.0</v>
      </c>
      <c r="C623" s="4"/>
      <c r="D623" s="7" t="s">
        <v>1169</v>
      </c>
      <c r="E623" s="8" t="str">
        <f>IFERROR(__xludf.DUMMYFUNCTION("IF(
  LEN(TRIM(D623))=0,
  ""왼쪽에 영어 문장을 입력하세요"",
  GOOGLETRANSLATE(D623,""en"",""ko"")
)"),"제정신인가, 아니면 미친 것인가")</f>
        <v>제정신인가, 아니면 미친 것인가</v>
      </c>
      <c r="F623" s="9" t="s">
        <v>1170</v>
      </c>
    </row>
    <row r="624" ht="20.25" customHeight="1">
      <c r="A624" s="5">
        <v>690.0</v>
      </c>
      <c r="B624" s="6">
        <v>251224.0</v>
      </c>
      <c r="C624" s="4"/>
      <c r="D624" s="7" t="s">
        <v>1171</v>
      </c>
      <c r="E624" s="8" t="str">
        <f>IFERROR(__xludf.DUMMYFUNCTION("IF(
  LEN(TRIM(D624))=0,
  ""왼쪽에 영어 문장을 입력하세요"",
  GOOGLETRANSLATE(D624,""en"",""ko"")
)"),"추월하다")</f>
        <v>추월하다</v>
      </c>
      <c r="F624" s="9" t="s">
        <v>1172</v>
      </c>
    </row>
    <row r="625" ht="20.25" customHeight="1">
      <c r="A625" s="5">
        <v>691.0</v>
      </c>
      <c r="B625" s="6">
        <v>251224.0</v>
      </c>
      <c r="C625" s="4"/>
      <c r="D625" s="7" t="s">
        <v>1173</v>
      </c>
      <c r="E625" s="8" t="str">
        <f>IFERROR(__xludf.DUMMYFUNCTION("IF(
  LEN(TRIM(D625))=0,
  ""왼쪽에 영어 문장을 입력하세요"",
  GOOGLETRANSLATE(D625,""en"",""ko"")
)"),"바라크")</f>
        <v>바라크</v>
      </c>
      <c r="F625" s="9" t="s">
        <v>1174</v>
      </c>
    </row>
    <row r="626" ht="20.25" customHeight="1">
      <c r="A626" s="5">
        <v>692.0</v>
      </c>
      <c r="B626" s="6">
        <v>251224.0</v>
      </c>
      <c r="C626" s="4"/>
      <c r="D626" s="7" t="s">
        <v>1175</v>
      </c>
      <c r="E626" s="8" t="str">
        <f>IFERROR(__xludf.DUMMYFUNCTION("IF(
  LEN(TRIM(D626))=0,
  ""왼쪽에 영어 문장을 입력하세요"",
  GOOGLETRANSLATE(D626,""en"",""ko"")
)"),"소송")</f>
        <v>소송</v>
      </c>
      <c r="F626" s="9" t="s">
        <v>1176</v>
      </c>
    </row>
    <row r="627" ht="20.25" customHeight="1">
      <c r="A627" s="5">
        <v>693.0</v>
      </c>
      <c r="B627" s="6">
        <v>251224.0</v>
      </c>
      <c r="C627" s="4"/>
      <c r="D627" s="7" t="s">
        <v>1177</v>
      </c>
      <c r="E627" s="8" t="str">
        <f>IFERROR(__xludf.DUMMYFUNCTION("IF(
  LEN(TRIM(D627))=0,
  ""왼쪽에 영어 문장을 입력하세요"",
  GOOGLETRANSLATE(D627,""en"",""ko"")
)"),"백일해")</f>
        <v>백일해</v>
      </c>
      <c r="F627" s="9" t="s">
        <v>1178</v>
      </c>
    </row>
    <row r="628" ht="20.25" customHeight="1">
      <c r="A628" s="5">
        <v>694.0</v>
      </c>
      <c r="B628" s="6">
        <v>251224.0</v>
      </c>
      <c r="C628" s="4"/>
      <c r="D628" s="7" t="s">
        <v>1179</v>
      </c>
      <c r="E628" s="8" t="str">
        <f>IFERROR(__xludf.DUMMYFUNCTION("IF(
  LEN(TRIM(D628))=0,
  ""왼쪽에 영어 문장을 입력하세요"",
  GOOGLETRANSLATE(D628,""en"",""ko"")
)"),"확신하다")</f>
        <v>확신하다</v>
      </c>
      <c r="F628" s="9" t="s">
        <v>1180</v>
      </c>
    </row>
    <row r="629" ht="20.25" customHeight="1">
      <c r="A629" s="5">
        <v>695.0</v>
      </c>
      <c r="B629" s="6">
        <v>251224.0</v>
      </c>
      <c r="C629" s="4"/>
      <c r="D629" s="7" t="s">
        <v>615</v>
      </c>
      <c r="E629" s="8" t="str">
        <f>IFERROR(__xludf.DUMMYFUNCTION("IF(
  LEN(TRIM(D629))=0,
  ""왼쪽에 영어 문장을 입력하세요"",
  GOOGLETRANSLATE(D629,""en"",""ko"")
)"),"복잡")</f>
        <v>복잡</v>
      </c>
      <c r="F629" s="9" t="s">
        <v>1181</v>
      </c>
    </row>
    <row r="630" ht="20.25" customHeight="1">
      <c r="A630" s="5">
        <v>696.0</v>
      </c>
      <c r="B630" s="6">
        <v>251224.0</v>
      </c>
      <c r="C630" s="4"/>
      <c r="D630" s="7" t="s">
        <v>1182</v>
      </c>
      <c r="E630" s="8" t="str">
        <f>IFERROR(__xludf.DUMMYFUNCTION("IF(
  LEN(TRIM(D630))=0,
  ""왼쪽에 영어 문장을 입력하세요"",
  GOOGLETRANSLATE(D630,""en"",""ko"")
)"),"쿵")</f>
        <v>쿵</v>
      </c>
      <c r="F630" s="9" t="s">
        <v>1183</v>
      </c>
    </row>
    <row r="631" ht="20.25" customHeight="1">
      <c r="A631" s="5">
        <v>697.0</v>
      </c>
      <c r="B631" s="6">
        <v>251224.0</v>
      </c>
      <c r="C631" s="4"/>
      <c r="D631" s="7" t="s">
        <v>1184</v>
      </c>
      <c r="E631" s="8" t="str">
        <f>IFERROR(__xludf.DUMMYFUNCTION("IF(
  LEN(TRIM(D631))=0,
  ""왼쪽에 영어 문장을 입력하세요"",
  GOOGLETRANSLATE(D631,""en"",""ko"")
)"),"쿵 하는 소리")</f>
        <v>쿵 하는 소리</v>
      </c>
      <c r="F631" s="9" t="s">
        <v>1185</v>
      </c>
    </row>
    <row r="632" ht="20.25" customHeight="1">
      <c r="A632" s="5">
        <v>698.0</v>
      </c>
      <c r="B632" s="6">
        <v>251224.0</v>
      </c>
      <c r="C632" s="4"/>
      <c r="D632" s="7" t="s">
        <v>1186</v>
      </c>
      <c r="E632" s="8" t="str">
        <f>IFERROR(__xludf.DUMMYFUNCTION("IF(
  LEN(TRIM(D632))=0,
  ""왼쪽에 영어 문장을 입력하세요"",
  GOOGLETRANSLATE(D632,""en"",""ko"")
)"),"정신 분열증")</f>
        <v>정신 분열증</v>
      </c>
      <c r="F632" s="9" t="s">
        <v>1187</v>
      </c>
    </row>
    <row r="633" ht="20.25" customHeight="1">
      <c r="A633" s="5">
        <v>699.0</v>
      </c>
      <c r="B633" s="6">
        <v>251224.0</v>
      </c>
      <c r="C633" s="4"/>
      <c r="D633" s="7" t="s">
        <v>1188</v>
      </c>
      <c r="E633" s="8" t="str">
        <f>IFERROR(__xludf.DUMMYFUNCTION("IF(
  LEN(TRIM(D633))=0,
  ""왼쪽에 영어 문장을 입력하세요"",
  GOOGLETRANSLATE(D633,""en"",""ko"")
)"),"양극성 장애")</f>
        <v>양극성 장애</v>
      </c>
      <c r="F633" s="9" t="s">
        <v>1189</v>
      </c>
    </row>
    <row r="634" ht="20.25" customHeight="1">
      <c r="A634" s="5">
        <v>700.0</v>
      </c>
      <c r="B634" s="6">
        <v>251224.0</v>
      </c>
      <c r="C634" s="4"/>
      <c r="D634" s="7" t="s">
        <v>1190</v>
      </c>
      <c r="E634" s="8" t="str">
        <f>IFERROR(__xludf.DUMMYFUNCTION("IF(
  LEN(TRIM(D634))=0,
  ""왼쪽에 영어 문장을 입력하세요"",
  GOOGLETRANSLATE(D634,""en"",""ko"")
)"),"간염")</f>
        <v>간염</v>
      </c>
      <c r="F634" s="9" t="s">
        <v>1191</v>
      </c>
    </row>
    <row r="635" ht="20.25" customHeight="1">
      <c r="A635" s="5">
        <v>701.0</v>
      </c>
      <c r="B635" s="6">
        <v>251224.0</v>
      </c>
      <c r="C635" s="4"/>
      <c r="D635" s="7" t="s">
        <v>589</v>
      </c>
      <c r="E635" s="8" t="str">
        <f>IFERROR(__xludf.DUMMYFUNCTION("IF(
  LEN(TRIM(D635))=0,
  ""왼쪽에 영어 문장을 입력하세요"",
  GOOGLETRANSLATE(D635,""en"",""ko"")
)"),"절제")</f>
        <v>절제</v>
      </c>
      <c r="F635" s="9" t="s">
        <v>590</v>
      </c>
    </row>
    <row r="636" ht="20.25" customHeight="1">
      <c r="A636" s="5">
        <v>702.0</v>
      </c>
      <c r="B636" s="6">
        <v>251224.0</v>
      </c>
      <c r="C636" s="4"/>
      <c r="D636" s="7" t="s">
        <v>1192</v>
      </c>
      <c r="E636" s="8" t="str">
        <f>IFERROR(__xludf.DUMMYFUNCTION("IF(
  LEN(TRIM(D636))=0,
  ""왼쪽에 영어 문장을 입력하세요"",
  GOOGLETRANSLATE(D636,""en"",""ko"")
)"),"손상시키다")</f>
        <v>손상시키다</v>
      </c>
      <c r="F636" s="9" t="s">
        <v>1193</v>
      </c>
    </row>
    <row r="637" ht="20.25" customHeight="1">
      <c r="A637" s="5">
        <v>703.0</v>
      </c>
      <c r="B637" s="6">
        <v>251224.0</v>
      </c>
      <c r="C637" s="4"/>
      <c r="D637" s="7" t="s">
        <v>1194</v>
      </c>
      <c r="E637" s="8" t="str">
        <f>IFERROR(__xludf.DUMMYFUNCTION("IF(
  LEN(TRIM(D637))=0,
  ""왼쪽에 영어 문장을 입력하세요"",
  GOOGLETRANSLATE(D637,""en"",""ko"")
)"),"논문")</f>
        <v>논문</v>
      </c>
      <c r="F637" s="9" t="s">
        <v>1195</v>
      </c>
    </row>
    <row r="638" ht="20.25" customHeight="1">
      <c r="A638" s="5">
        <v>704.0</v>
      </c>
      <c r="B638" s="6">
        <v>251224.0</v>
      </c>
      <c r="C638" s="4"/>
      <c r="D638" s="7" t="s">
        <v>1196</v>
      </c>
      <c r="E638" s="8" t="str">
        <f>IFERROR(__xludf.DUMMYFUNCTION("IF(
  LEN(TRIM(D638))=0,
  ""왼쪽에 영어 문장을 입력하세요"",
  GOOGLETRANSLATE(D638,""en"",""ko"")
)"),"개를 키우려면 해야 할 일이 많아요.
산책도 시켜주고, 밥도 주고, 배변도 시켜줘야 하죠.")</f>
        <v>개를 키우려면 해야 할 일이 많아요.
산책도 시켜주고, 밥도 주고, 배변도 시켜줘야 하죠.</v>
      </c>
      <c r="F638" s="9" t="s">
        <v>1197</v>
      </c>
    </row>
    <row r="639" ht="20.25" customHeight="1">
      <c r="A639" s="5">
        <v>705.0</v>
      </c>
      <c r="B639" s="6">
        <v>251224.0</v>
      </c>
      <c r="C639" s="4"/>
      <c r="D639" s="7" t="s">
        <v>1198</v>
      </c>
      <c r="E639" s="8" t="str">
        <f>IFERROR(__xludf.DUMMYFUNCTION("IF(
  LEN(TRIM(D639))=0,
  ""왼쪽에 영어 문장을 입력하세요"",
  GOOGLETRANSLATE(D639,""en"",""ko"")
)"),"전적인")</f>
        <v>전적인</v>
      </c>
      <c r="F639" s="9" t="s">
        <v>1199</v>
      </c>
    </row>
    <row r="640" ht="20.25" customHeight="1">
      <c r="A640" s="5">
        <v>706.0</v>
      </c>
      <c r="B640" s="6">
        <v>251224.0</v>
      </c>
      <c r="C640" s="4"/>
      <c r="D640" s="7" t="s">
        <v>947</v>
      </c>
      <c r="E640" s="8" t="str">
        <f>IFERROR(__xludf.DUMMYFUNCTION("IF(
  LEN(TRIM(D640))=0,
  ""왼쪽에 영어 문장을 입력하세요"",
  GOOGLETRANSLATE(D640,""en"",""ko"")
)"),"고통")</f>
        <v>고통</v>
      </c>
      <c r="F640" s="9" t="s">
        <v>1200</v>
      </c>
    </row>
    <row r="641" ht="20.25" customHeight="1">
      <c r="A641" s="5">
        <v>707.0</v>
      </c>
      <c r="B641" s="6">
        <v>251224.0</v>
      </c>
      <c r="C641" s="4"/>
      <c r="D641" s="7" t="s">
        <v>1201</v>
      </c>
      <c r="E641" s="8" t="str">
        <f>IFERROR(__xludf.DUMMYFUNCTION("IF(
  LEN(TRIM(D641))=0,
  ""왼쪽에 영어 문장을 입력하세요"",
  GOOGLETRANSLATE(D641,""en"",""ko"")
)"),"그림 물감")</f>
        <v>그림 물감</v>
      </c>
      <c r="F641" s="9" t="s">
        <v>1202</v>
      </c>
    </row>
    <row r="642" ht="20.25" customHeight="1">
      <c r="A642" s="5">
        <v>708.0</v>
      </c>
      <c r="B642" s="6">
        <v>251224.0</v>
      </c>
      <c r="C642" s="4"/>
      <c r="D642" s="7" t="s">
        <v>1203</v>
      </c>
      <c r="E642" s="8" t="str">
        <f>IFERROR(__xludf.DUMMYFUNCTION("IF(
  LEN(TRIM(D642))=0,
  ""왼쪽에 영어 문장을 입력하세요"",
  GOOGLETRANSLATE(D642,""en"",""ko"")
)"),"계약")</f>
        <v>계약</v>
      </c>
      <c r="F642" s="9" t="s">
        <v>1204</v>
      </c>
    </row>
    <row r="643" ht="20.25" customHeight="1">
      <c r="A643" s="5">
        <v>709.0</v>
      </c>
      <c r="B643" s="6">
        <v>251224.0</v>
      </c>
      <c r="C643" s="4"/>
      <c r="D643" s="7" t="s">
        <v>1205</v>
      </c>
      <c r="E643" s="8" t="str">
        <f>IFERROR(__xludf.DUMMYFUNCTION("IF(
  LEN(TRIM(D643))=0,
  ""왼쪽에 영어 문장을 입력하세요"",
  GOOGLETRANSLATE(D643,""en"",""ko"")
)"),"...보다 밝게 빛나다")</f>
        <v>...보다 밝게 빛나다</v>
      </c>
      <c r="F643" s="9" t="s">
        <v>1206</v>
      </c>
    </row>
    <row r="644" ht="20.25" customHeight="1">
      <c r="A644" s="5">
        <v>710.0</v>
      </c>
      <c r="B644" s="6">
        <v>251224.0</v>
      </c>
      <c r="C644" s="4"/>
      <c r="D644" s="7" t="s">
        <v>1207</v>
      </c>
      <c r="E644" s="8" t="str">
        <f>IFERROR(__xludf.DUMMYFUNCTION("IF(
  LEN(TRIM(D644))=0,
  ""왼쪽에 영어 문장을 입력하세요"",
  GOOGLETRANSLATE(D644,""en"",""ko"")
)"),"정찰")</f>
        <v>정찰</v>
      </c>
      <c r="F644" s="9" t="s">
        <v>1208</v>
      </c>
    </row>
    <row r="645" ht="20.25" customHeight="1">
      <c r="A645" s="5">
        <v>711.0</v>
      </c>
      <c r="B645" s="6">
        <v>251224.0</v>
      </c>
      <c r="C645" s="4"/>
      <c r="D645" s="7" t="s">
        <v>1209</v>
      </c>
      <c r="E645" s="8" t="str">
        <f>IFERROR(__xludf.DUMMYFUNCTION("IF(
  LEN(TRIM(D645))=0,
  ""왼쪽에 영어 문장을 입력하세요"",
  GOOGLETRANSLATE(D645,""en"",""ko"")
)"),"속도는 성장을 가속화할 수 있지만, 성장은 더 빠른 속도를 추구합니다.")</f>
        <v>속도는 성장을 가속화할 수 있지만, 성장은 더 빠른 속도를 추구합니다.</v>
      </c>
      <c r="F645" s="9" t="s">
        <v>1210</v>
      </c>
    </row>
    <row r="646">
      <c r="A646" s="5">
        <v>712.0</v>
      </c>
      <c r="B646" s="6">
        <v>251224.0</v>
      </c>
      <c r="C646" s="4"/>
      <c r="D646" s="7" t="s">
        <v>1211</v>
      </c>
      <c r="E646" s="8" t="str">
        <f>IFERROR(__xludf.DUMMYFUNCTION("IF(
  LEN(TRIM(D646))=0,
  ""왼쪽에 영어 문장을 입력하세요"",
  GOOGLETRANSLATE(D646,""en"",""ko"")
)"),"자연과 그 자원은 더 빠른 속도를 갈망하는 인간의 욕망에 희생되고 있습니다.")</f>
        <v>자연과 그 자원은 더 빠른 속도를 갈망하는 인간의 욕망에 희생되고 있습니다.</v>
      </c>
      <c r="F646" s="9" t="s">
        <v>1212</v>
      </c>
    </row>
    <row r="647" ht="20.25" customHeight="1">
      <c r="A647" s="5">
        <v>713.0</v>
      </c>
      <c r="B647" s="6">
        <v>251224.0</v>
      </c>
      <c r="C647" s="4"/>
      <c r="D647" s="7" t="s">
        <v>1213</v>
      </c>
      <c r="E647" s="8" t="str">
        <f>IFERROR(__xludf.DUMMYFUNCTION("IF(
  LEN(TRIM(D647))=0,
  ""왼쪽에 영어 문장을 입력하세요"",
  GOOGLETRANSLATE(D647,""en"",""ko"")
)"),"입증하다")</f>
        <v>입증하다</v>
      </c>
      <c r="F647" s="9" t="s">
        <v>1214</v>
      </c>
    </row>
    <row r="648" ht="20.25" customHeight="1">
      <c r="A648" s="5">
        <v>714.0</v>
      </c>
      <c r="B648" s="6">
        <v>251224.0</v>
      </c>
      <c r="C648" s="4"/>
      <c r="D648" s="7" t="s">
        <v>1215</v>
      </c>
      <c r="E648" s="8" t="str">
        <f>IFERROR(__xludf.DUMMYFUNCTION("IF(
  LEN(TRIM(D648))=0,
  ""왼쪽에 영어 문장을 입력하세요"",
  GOOGLETRANSLATE(D648,""en"",""ko"")
)"),"달성하다")</f>
        <v>달성하다</v>
      </c>
      <c r="F648" s="9" t="s">
        <v>1216</v>
      </c>
    </row>
    <row r="649" ht="20.25" customHeight="1">
      <c r="A649" s="5">
        <v>715.0</v>
      </c>
      <c r="B649" s="6">
        <v>251224.0</v>
      </c>
      <c r="C649" s="4"/>
      <c r="D649" s="7" t="s">
        <v>1217</v>
      </c>
      <c r="E649" s="8" t="str">
        <f>IFERROR(__xludf.DUMMYFUNCTION("IF(
  LEN(TRIM(D649))=0,
  ""왼쪽에 영어 문장을 입력하세요"",
  GOOGLETRANSLATE(D649,""en"",""ko"")
)"),"손대지 않은")</f>
        <v>손대지 않은</v>
      </c>
      <c r="F649" s="9" t="s">
        <v>1218</v>
      </c>
    </row>
    <row r="650" ht="20.25" customHeight="1">
      <c r="A650" s="5">
        <v>716.0</v>
      </c>
      <c r="B650" s="6">
        <v>251224.0</v>
      </c>
      <c r="C650" s="4"/>
      <c r="D650" s="7" t="s">
        <v>1219</v>
      </c>
      <c r="E650" s="8" t="str">
        <f>IFERROR(__xludf.DUMMYFUNCTION("IF(
  LEN(TRIM(D650))=0,
  ""왼쪽에 영어 문장을 입력하세요"",
  GOOGLETRANSLATE(D650,""en"",""ko"")
)"),"극소")</f>
        <v>극소</v>
      </c>
      <c r="F650" s="9" t="s">
        <v>1220</v>
      </c>
    </row>
    <row r="651" ht="20.25" customHeight="1">
      <c r="A651" s="5">
        <v>717.0</v>
      </c>
      <c r="B651" s="6">
        <v>251224.0</v>
      </c>
      <c r="C651" s="4"/>
      <c r="D651" s="7" t="s">
        <v>1221</v>
      </c>
      <c r="E651" s="8" t="str">
        <f>IFERROR(__xludf.DUMMYFUNCTION("IF(
  LEN(TRIM(D651))=0,
  ""왼쪽에 영어 문장을 입력하세요"",
  GOOGLETRANSLATE(D651,""en"",""ko"")
)"),"분")</f>
        <v>분</v>
      </c>
      <c r="F651" s="9" t="s">
        <v>1222</v>
      </c>
    </row>
    <row r="652" ht="20.25" customHeight="1">
      <c r="A652" s="5">
        <v>718.0</v>
      </c>
      <c r="B652" s="6">
        <v>251224.0</v>
      </c>
      <c r="C652" s="4"/>
      <c r="D652" s="7" t="s">
        <v>1223</v>
      </c>
      <c r="E652" s="8" t="str">
        <f>IFERROR(__xludf.DUMMYFUNCTION("IF(
  LEN(TRIM(D652))=0,
  ""왼쪽에 영어 문장을 입력하세요"",
  GOOGLETRANSLATE(D652,""en"",""ko"")
)"),"~와 경쟁하다")</f>
        <v>~와 경쟁하다</v>
      </c>
      <c r="F652" s="9" t="s">
        <v>1224</v>
      </c>
    </row>
    <row r="653" ht="20.25" customHeight="1">
      <c r="A653" s="5">
        <v>719.0</v>
      </c>
      <c r="B653" s="6">
        <v>251224.0</v>
      </c>
      <c r="C653" s="4"/>
      <c r="D653" s="7" t="s">
        <v>1225</v>
      </c>
      <c r="E653" s="8" t="str">
        <f>IFERROR(__xludf.DUMMYFUNCTION("IF(
  LEN(TRIM(D653))=0,
  ""왼쪽에 영어 문장을 입력하세요"",
  GOOGLETRANSLATE(D653,""en"",""ko"")
)"),"개가 아프면 수의사에게 데려가야 합니다.")</f>
        <v>개가 아프면 수의사에게 데려가야 합니다.</v>
      </c>
      <c r="F653" s="9" t="s">
        <v>1226</v>
      </c>
    </row>
    <row r="654" ht="20.25" customHeight="1">
      <c r="A654" s="5">
        <v>720.0</v>
      </c>
      <c r="B654" s="6">
        <v>251224.0</v>
      </c>
      <c r="C654" s="4"/>
      <c r="D654" s="7" t="s">
        <v>1227</v>
      </c>
      <c r="E654" s="8" t="str">
        <f>IFERROR(__xludf.DUMMYFUNCTION("IF(
  LEN(TRIM(D654))=0,
  ""왼쪽에 영어 문장을 입력하세요"",
  GOOGLETRANSLATE(D654,""en"",""ko"")
)"),"나이가 들면 마취는 매우 위험해집니다.")</f>
        <v>나이가 들면 마취는 매우 위험해집니다.</v>
      </c>
      <c r="F654" s="9" t="s">
        <v>1228</v>
      </c>
    </row>
    <row r="655" ht="20.25" customHeight="1">
      <c r="A655" s="5">
        <v>721.0</v>
      </c>
      <c r="B655" s="6">
        <v>251224.0</v>
      </c>
      <c r="C655" s="4"/>
      <c r="D655" s="7" t="s">
        <v>1229</v>
      </c>
      <c r="E655" s="8" t="str">
        <f>IFERROR(__xludf.DUMMYFUNCTION("IF(
  LEN(TRIM(D655))=0,
  ""왼쪽에 영어 문장을 입력하세요"",
  GOOGLETRANSLATE(D655,""en"",""ko"")
)"),"평가")</f>
        <v>평가</v>
      </c>
      <c r="F655" s="9" t="s">
        <v>1230</v>
      </c>
    </row>
    <row r="656" ht="20.25" customHeight="1">
      <c r="A656" s="5">
        <v>722.0</v>
      </c>
      <c r="B656" s="6">
        <v>251224.0</v>
      </c>
      <c r="C656" s="4"/>
      <c r="D656" s="7" t="s">
        <v>1231</v>
      </c>
      <c r="E656" s="8" t="str">
        <f>IFERROR(__xludf.DUMMYFUNCTION("IF(
  LEN(TRIM(D656))=0,
  ""왼쪽에 영어 문장을 입력하세요"",
  GOOGLETRANSLATE(D656,""en"",""ko"")
)"),"위험한")</f>
        <v>위험한</v>
      </c>
      <c r="F656" s="9" t="s">
        <v>1232</v>
      </c>
    </row>
    <row r="657" ht="20.25" customHeight="1">
      <c r="A657" s="5">
        <v>723.0</v>
      </c>
      <c r="B657" s="6">
        <v>251224.0</v>
      </c>
      <c r="C657" s="4"/>
      <c r="D657" s="7" t="s">
        <v>1233</v>
      </c>
      <c r="E657" s="8" t="str">
        <f>IFERROR(__xludf.DUMMYFUNCTION("IF(
  LEN(TRIM(D657))=0,
  ""왼쪽에 영어 문장을 입력하세요"",
  GOOGLETRANSLATE(D657,""en"",""ko"")
)"),"몰래")</f>
        <v>몰래</v>
      </c>
      <c r="F657" s="9" t="s">
        <v>1234</v>
      </c>
    </row>
    <row r="658" ht="20.25" customHeight="1">
      <c r="A658" s="5">
        <v>724.0</v>
      </c>
      <c r="B658" s="6">
        <v>251224.0</v>
      </c>
      <c r="C658" s="4"/>
      <c r="D658" s="7" t="s">
        <v>1235</v>
      </c>
      <c r="E658" s="8" t="str">
        <f>IFERROR(__xludf.DUMMYFUNCTION("IF(
  LEN(TRIM(D658))=0,
  ""왼쪽에 영어 문장을 입력하세요"",
  GOOGLETRANSLATE(D658,""en"",""ko"")
)"),"그릇된")</f>
        <v>그릇된</v>
      </c>
      <c r="F658" s="9" t="s">
        <v>1236</v>
      </c>
    </row>
    <row r="659" ht="20.25" customHeight="1">
      <c r="A659" s="5">
        <v>725.0</v>
      </c>
      <c r="B659" s="6">
        <v>251224.0</v>
      </c>
      <c r="C659" s="4"/>
      <c r="D659" s="7" t="s">
        <v>1237</v>
      </c>
      <c r="E659" s="8" t="str">
        <f>IFERROR(__xludf.DUMMYFUNCTION("IF(
  LEN(TRIM(D659))=0,
  ""왼쪽에 영어 문장을 입력하세요"",
  GOOGLETRANSLATE(D659,""en"",""ko"")
)"),"조잡한")</f>
        <v>조잡한</v>
      </c>
      <c r="F659" s="9" t="s">
        <v>1238</v>
      </c>
    </row>
    <row r="660" ht="20.25" customHeight="1">
      <c r="A660" s="5">
        <v>726.0</v>
      </c>
      <c r="B660" s="6">
        <v>251224.0</v>
      </c>
      <c r="C660" s="4"/>
      <c r="D660" s="7" t="s">
        <v>1239</v>
      </c>
      <c r="E660" s="8" t="str">
        <f>IFERROR(__xludf.DUMMYFUNCTION("IF(
  LEN(TRIM(D660))=0,
  ""왼쪽에 영어 문장을 입력하세요"",
  GOOGLETRANSLATE(D660,""en"",""ko"")
)"),"온도계")</f>
        <v>온도계</v>
      </c>
      <c r="F660" s="9" t="s">
        <v>1240</v>
      </c>
    </row>
    <row r="661" ht="20.25" customHeight="1">
      <c r="A661" s="5">
        <v>727.0</v>
      </c>
      <c r="B661" s="6">
        <v>251224.0</v>
      </c>
      <c r="C661" s="4"/>
      <c r="D661" s="7" t="s">
        <v>1241</v>
      </c>
      <c r="E661" s="8" t="str">
        <f>IFERROR(__xludf.DUMMYFUNCTION("IF(
  LEN(TRIM(D661))=0,
  ""왼쪽에 영어 문장을 입력하세요"",
  GOOGLETRANSLATE(D661,""en"",""ko"")
)"),"출발하다")</f>
        <v>출발하다</v>
      </c>
      <c r="F661" s="9" t="s">
        <v>1242</v>
      </c>
    </row>
    <row r="662" ht="20.25" customHeight="1">
      <c r="A662" s="5">
        <v>728.0</v>
      </c>
      <c r="B662" s="6">
        <v>251224.0</v>
      </c>
      <c r="C662" s="4"/>
      <c r="D662" s="7" t="s">
        <v>1243</v>
      </c>
      <c r="E662" s="8" t="str">
        <f>IFERROR(__xludf.DUMMYFUNCTION("IF(
  LEN(TRIM(D662))=0,
  ""왼쪽에 영어 문장을 입력하세요"",
  GOOGLETRANSLATE(D662,""en"",""ko"")
)"),"브라질에서 나비 날갯짓 한 번이 텍사스에서 토네이도를 일으킬 수 있다.")</f>
        <v>브라질에서 나비 날갯짓 한 번이 텍사스에서 토네이도를 일으킬 수 있다.</v>
      </c>
      <c r="F662" s="9" t="s">
        <v>1244</v>
      </c>
    </row>
    <row r="663" ht="20.25" customHeight="1">
      <c r="A663" s="5">
        <v>729.0</v>
      </c>
      <c r="B663" s="6">
        <v>251224.0</v>
      </c>
      <c r="C663" s="4"/>
      <c r="D663" s="7" t="s">
        <v>1245</v>
      </c>
      <c r="E663" s="8" t="str">
        <f>IFERROR(__xludf.DUMMYFUNCTION("IF(
  LEN(TRIM(D663))=0,
  ""왼쪽에 영어 문장을 입력하세요"",
  GOOGLETRANSLATE(D663,""en"",""ko"")
)"),"거대한")</f>
        <v>거대한</v>
      </c>
      <c r="F663" s="9" t="s">
        <v>1246</v>
      </c>
    </row>
    <row r="664" ht="20.25" customHeight="1">
      <c r="A664" s="5">
        <v>730.0</v>
      </c>
      <c r="B664" s="6">
        <v>251224.0</v>
      </c>
      <c r="C664" s="4"/>
      <c r="D664" s="7" t="s">
        <v>1247</v>
      </c>
      <c r="E664" s="8" t="str">
        <f>IFERROR(__xludf.DUMMYFUNCTION("IF(
  LEN(TRIM(D664))=0,
  ""왼쪽에 영어 문장을 입력하세요"",
  GOOGLETRANSLATE(D664,""en"",""ko"")
)"),"동전")</f>
        <v>동전</v>
      </c>
      <c r="F664" s="9" t="s">
        <v>1248</v>
      </c>
    </row>
    <row r="665" ht="20.25" customHeight="1">
      <c r="A665" s="5">
        <v>731.0</v>
      </c>
      <c r="B665" s="6">
        <v>251224.0</v>
      </c>
      <c r="C665" s="4"/>
      <c r="D665" s="7" t="s">
        <v>941</v>
      </c>
      <c r="E665" s="8" t="str">
        <f>IFERROR(__xludf.DUMMYFUNCTION("IF(
  LEN(TRIM(D665))=0,
  ""왼쪽에 영어 문장을 입력하세요"",
  GOOGLETRANSLATE(D665,""en"",""ko"")
)"),"정교한")</f>
        <v>정교한</v>
      </c>
      <c r="F665" s="9" t="s">
        <v>1249</v>
      </c>
    </row>
    <row r="666" ht="20.25" customHeight="1">
      <c r="A666" s="5">
        <v>732.0</v>
      </c>
      <c r="B666" s="6">
        <v>251224.0</v>
      </c>
      <c r="C666" s="4"/>
      <c r="D666" s="7" t="s">
        <v>1250</v>
      </c>
      <c r="E666" s="8" t="str">
        <f>IFERROR(__xludf.DUMMYFUNCTION("IF(
  LEN(TRIM(D666))=0,
  ""왼쪽에 영어 문장을 입력하세요"",
  GOOGLETRANSLATE(D666,""en"",""ko"")
)"),"증가")</f>
        <v>증가</v>
      </c>
      <c r="F666" s="9" t="s">
        <v>1251</v>
      </c>
    </row>
    <row r="667" ht="20.25" customHeight="1">
      <c r="A667" s="5">
        <v>733.0</v>
      </c>
      <c r="B667" s="6">
        <v>251224.0</v>
      </c>
      <c r="C667" s="4"/>
      <c r="D667" s="7" t="s">
        <v>1252</v>
      </c>
      <c r="E667" s="8" t="str">
        <f>IFERROR(__xludf.DUMMYFUNCTION("IF(
  LEN(TRIM(D667))=0,
  ""왼쪽에 영어 문장을 입력하세요"",
  GOOGLETRANSLATE(D667,""en"",""ko"")
)"),"지나치게")</f>
        <v>지나치게</v>
      </c>
      <c r="F667" s="9" t="s">
        <v>1253</v>
      </c>
    </row>
    <row r="668" ht="20.25" customHeight="1">
      <c r="A668" s="5">
        <v>734.0</v>
      </c>
      <c r="B668" s="6">
        <v>251224.0</v>
      </c>
      <c r="C668" s="4"/>
      <c r="D668" s="7" t="s">
        <v>1254</v>
      </c>
      <c r="E668" s="8" t="str">
        <f>IFERROR(__xludf.DUMMYFUNCTION("IF(
  LEN(TRIM(D668))=0,
  ""왼쪽에 영어 문장을 입력하세요"",
  GOOGLETRANSLATE(D668,""en"",""ko"")
)"),"갑자기 일어서면 어지러워요.")</f>
        <v>갑자기 일어서면 어지러워요.</v>
      </c>
      <c r="F668" s="9" t="s">
        <v>1255</v>
      </c>
    </row>
    <row r="669" ht="20.25" customHeight="1">
      <c r="A669" s="5">
        <v>735.0</v>
      </c>
      <c r="B669" s="6">
        <v>251224.0</v>
      </c>
      <c r="C669" s="4"/>
      <c r="D669" s="7" t="s">
        <v>1256</v>
      </c>
      <c r="E669" s="8" t="str">
        <f>IFERROR(__xludf.DUMMYFUNCTION("IF(
  LEN(TRIM(D669))=0,
  ""왼쪽에 영어 문장을 입력하세요"",
  GOOGLETRANSLATE(D669,""en"",""ko"")
)"),"미아는 어머니가 연세가 많으시고 혼자 사시기 때문에 이것이 매우 큰 문제라고 생각합니다.")</f>
        <v>미아는 어머니가 연세가 많으시고 혼자 사시기 때문에 이것이 매우 큰 문제라고 생각합니다.</v>
      </c>
      <c r="F669" s="9" t="s">
        <v>1257</v>
      </c>
    </row>
    <row r="670" ht="20.25" customHeight="1">
      <c r="A670" s="5">
        <v>736.0</v>
      </c>
      <c r="B670" s="6">
        <v>251224.0</v>
      </c>
      <c r="C670" s="4"/>
      <c r="D670" s="7" t="s">
        <v>1258</v>
      </c>
      <c r="E670" s="8" t="str">
        <f>IFERROR(__xludf.DUMMYFUNCTION("IF(
  LEN(TRIM(D670))=0,
  ""왼쪽에 영어 문장을 입력하세요"",
  GOOGLETRANSLATE(D670,""en"",""ko"")
)"),"꼼꼼한")</f>
        <v>꼼꼼한</v>
      </c>
      <c r="F670" s="9" t="s">
        <v>1259</v>
      </c>
    </row>
    <row r="671" ht="20.25" customHeight="1">
      <c r="A671" s="5">
        <v>737.0</v>
      </c>
      <c r="B671" s="6">
        <v>251224.0</v>
      </c>
      <c r="C671" s="4"/>
      <c r="D671" s="7" t="s">
        <v>1260</v>
      </c>
      <c r="E671" s="8" t="str">
        <f>IFERROR(__xludf.DUMMYFUNCTION("IF(
  LEN(TRIM(D671))=0,
  ""왼쪽에 영어 문장을 입력하세요"",
  GOOGLETRANSLATE(D671,""en"",""ko"")
)"),"동요")</f>
        <v>동요</v>
      </c>
      <c r="F671" s="9" t="s">
        <v>1261</v>
      </c>
    </row>
    <row r="672" ht="20.25" customHeight="1">
      <c r="A672" s="5">
        <v>738.0</v>
      </c>
      <c r="B672" s="6">
        <v>251224.0</v>
      </c>
      <c r="C672" s="4"/>
      <c r="D672" s="7" t="s">
        <v>1262</v>
      </c>
      <c r="E672" s="8" t="str">
        <f>IFERROR(__xludf.DUMMYFUNCTION("IF(
  LEN(TRIM(D672))=0,
  ""왼쪽에 영어 문장을 입력하세요"",
  GOOGLETRANSLATE(D672,""en"",""ko"")
)"),"논쟁")</f>
        <v>논쟁</v>
      </c>
      <c r="F672" s="9" t="s">
        <v>1263</v>
      </c>
    </row>
    <row r="673" ht="20.25" customHeight="1">
      <c r="A673" s="5">
        <v>739.0</v>
      </c>
      <c r="B673" s="6">
        <v>251224.0</v>
      </c>
      <c r="C673" s="4"/>
      <c r="D673" s="7" t="s">
        <v>1264</v>
      </c>
      <c r="E673" s="8" t="str">
        <f>IFERROR(__xludf.DUMMYFUNCTION("IF(
  LEN(TRIM(D673))=0,
  ""왼쪽에 영어 문장을 입력하세요"",
  GOOGLETRANSLATE(D673,""en"",""ko"")
)"),"~에 굴복하다")</f>
        <v>~에 굴복하다</v>
      </c>
      <c r="F673" s="9" t="s">
        <v>1265</v>
      </c>
    </row>
    <row r="674" ht="20.25" customHeight="1">
      <c r="A674" s="5">
        <v>740.0</v>
      </c>
      <c r="B674" s="6">
        <v>251224.0</v>
      </c>
      <c r="C674" s="4"/>
      <c r="D674" s="7" t="s">
        <v>1266</v>
      </c>
      <c r="E674" s="8" t="str">
        <f>IFERROR(__xludf.DUMMYFUNCTION("IF(
  LEN(TRIM(D674))=0,
  ""왼쪽에 영어 문장을 입력하세요"",
  GOOGLETRANSLATE(D674,""en"",""ko"")
)"),"그녀는 유혹에 굴복하여 케이크를 전부 먹어버렸다.")</f>
        <v>그녀는 유혹에 굴복하여 케이크를 전부 먹어버렸다.</v>
      </c>
      <c r="F674" s="9" t="s">
        <v>1267</v>
      </c>
    </row>
    <row r="675" ht="20.25" customHeight="1">
      <c r="A675" s="5">
        <v>741.0</v>
      </c>
      <c r="B675" s="6">
        <v>251224.0</v>
      </c>
      <c r="C675" s="4"/>
      <c r="D675" s="7" t="s">
        <v>1268</v>
      </c>
      <c r="E675" s="8" t="str">
        <f>IFERROR(__xludf.DUMMYFUNCTION("IF(
  LEN(TRIM(D675))=0,
  ""왼쪽에 영어 문장을 입력하세요"",
  GOOGLETRANSLATE(D675,""en"",""ko"")
)"),"쓸어내다")</f>
        <v>쓸어내다</v>
      </c>
      <c r="F675" s="9" t="s">
        <v>1269</v>
      </c>
    </row>
    <row r="676" ht="20.25" customHeight="1">
      <c r="A676" s="5">
        <v>742.0</v>
      </c>
      <c r="B676" s="6">
        <v>251224.0</v>
      </c>
      <c r="C676" s="4"/>
      <c r="D676" s="7" t="s">
        <v>1270</v>
      </c>
      <c r="E676" s="8" t="str">
        <f>IFERROR(__xludf.DUMMYFUNCTION("IF(
  LEN(TRIM(D676))=0,
  ""왼쪽에 영어 문장을 입력하세요"",
  GOOGLETRANSLATE(D676,""en"",""ko"")
)"),"낙진")</f>
        <v>낙진</v>
      </c>
      <c r="F676" s="9" t="s">
        <v>1271</v>
      </c>
    </row>
    <row r="677" ht="20.25" customHeight="1">
      <c r="A677" s="5">
        <v>743.0</v>
      </c>
      <c r="B677" s="6">
        <v>251224.0</v>
      </c>
      <c r="C677" s="4"/>
      <c r="D677" s="7" t="s">
        <v>1272</v>
      </c>
      <c r="E677" s="8" t="str">
        <f>IFERROR(__xludf.DUMMYFUNCTION("IF(
  LEN(TRIM(D677))=0,
  ""왼쪽에 영어 문장을 입력하세요"",
  GOOGLETRANSLATE(D677,""en"",""ko"")
)"),"잇몸")</f>
        <v>잇몸</v>
      </c>
      <c r="F677" s="9" t="s">
        <v>1273</v>
      </c>
    </row>
    <row r="678" ht="20.25" customHeight="1">
      <c r="A678" s="5">
        <v>744.0</v>
      </c>
      <c r="B678" s="6">
        <v>251224.0</v>
      </c>
      <c r="C678" s="4"/>
      <c r="D678" s="7" t="s">
        <v>1274</v>
      </c>
      <c r="E678" s="8" t="str">
        <f>IFERROR(__xludf.DUMMYFUNCTION("IF(
  LEN(TRIM(D678))=0,
  ""왼쪽에 영어 문장을 입력하세요"",
  GOOGLETRANSLATE(D678,""en"",""ko"")
)"),"우스꽝스러운")</f>
        <v>우스꽝스러운</v>
      </c>
      <c r="F678" s="9" t="s">
        <v>1275</v>
      </c>
    </row>
    <row r="679" ht="20.25" customHeight="1">
      <c r="A679" s="5">
        <v>745.0</v>
      </c>
      <c r="B679" s="6">
        <v>251224.0</v>
      </c>
      <c r="C679" s="4"/>
      <c r="D679" s="7" t="s">
        <v>1276</v>
      </c>
      <c r="E679" s="8" t="str">
        <f>IFERROR(__xludf.DUMMYFUNCTION("IF(
  LEN(TRIM(D679))=0,
  ""왼쪽에 영어 문장을 입력하세요"",
  GOOGLETRANSLATE(D679,""en"",""ko"")
)"),"소란을 피우다")</f>
        <v>소란을 피우다</v>
      </c>
      <c r="F679" s="9" t="s">
        <v>1277</v>
      </c>
    </row>
    <row r="680" ht="20.25" customHeight="1">
      <c r="A680" s="5">
        <v>746.0</v>
      </c>
      <c r="B680" s="6">
        <v>251224.0</v>
      </c>
      <c r="C680" s="4"/>
      <c r="D680" s="7" t="s">
        <v>1278</v>
      </c>
      <c r="E680" s="8" t="str">
        <f>IFERROR(__xludf.DUMMYFUNCTION("IF(
  LEN(TRIM(D680))=0,
  ""왼쪽에 영어 문장을 입력하세요"",
  GOOGLETRANSLATE(D680,""en"",""ko"")
)"),"해설가")</f>
        <v>해설가</v>
      </c>
      <c r="F680" s="9" t="s">
        <v>1279</v>
      </c>
    </row>
    <row r="681" ht="20.25" customHeight="1">
      <c r="A681" s="5">
        <v>747.0</v>
      </c>
      <c r="B681" s="6">
        <v>251224.0</v>
      </c>
      <c r="C681" s="4"/>
      <c r="D681" s="7" t="s">
        <v>1280</v>
      </c>
      <c r="E681" s="8" t="str">
        <f>IFERROR(__xludf.DUMMYFUNCTION("IF(
  LEN(TRIM(D681))=0,
  ""왼쪽에 영어 문장을 입력하세요"",
  GOOGLETRANSLATE(D681,""en"",""ko"")
)"),"새끼손가락")</f>
        <v>새끼손가락</v>
      </c>
      <c r="F681" s="9" t="s">
        <v>1281</v>
      </c>
    </row>
    <row r="682" ht="20.25" customHeight="1">
      <c r="A682" s="5">
        <v>748.0</v>
      </c>
      <c r="B682" s="6">
        <v>251224.0</v>
      </c>
      <c r="C682" s="4"/>
      <c r="D682" s="7" t="s">
        <v>1282</v>
      </c>
      <c r="E682" s="8" t="str">
        <f>IFERROR(__xludf.DUMMYFUNCTION("IF(
  LEN(TRIM(D682))=0,
  ""왼쪽에 영어 문장을 입력하세요"",
  GOOGLETRANSLATE(D682,""en"",""ko"")
)"),"무지")</f>
        <v>무지</v>
      </c>
      <c r="F682" s="9" t="s">
        <v>1283</v>
      </c>
    </row>
    <row r="683" ht="20.25" customHeight="1">
      <c r="A683" s="5">
        <v>749.0</v>
      </c>
      <c r="B683" s="6">
        <v>251224.0</v>
      </c>
      <c r="C683" s="4"/>
      <c r="D683" s="7" t="s">
        <v>1284</v>
      </c>
      <c r="E683" s="8" t="str">
        <f>IFERROR(__xludf.DUMMYFUNCTION("IF(
  LEN(TRIM(D683))=0,
  ""왼쪽에 영어 문장을 입력하세요"",
  GOOGLETRANSLATE(D683,""en"",""ko"")
)"),"집게손가락 (또는 포인터 손가락) ")</f>
        <v>집게손가락 (또는 포인터 손가락) </v>
      </c>
      <c r="F683" s="9" t="s">
        <v>1285</v>
      </c>
    </row>
    <row r="684" ht="20.25" customHeight="1">
      <c r="A684" s="5">
        <v>750.0</v>
      </c>
      <c r="B684" s="6">
        <v>251224.0</v>
      </c>
      <c r="C684" s="4"/>
      <c r="D684" s="7" t="s">
        <v>1286</v>
      </c>
      <c r="E684" s="8" t="str">
        <f>IFERROR(__xludf.DUMMYFUNCTION("IF(
  LEN(TRIM(D684))=0,
  ""왼쪽에 영어 문장을 입력하세요"",
  GOOGLETRANSLATE(D684,""en"",""ko"")
)"),"가운데 손가락")</f>
        <v>가운데 손가락</v>
      </c>
      <c r="F684" s="9" t="s">
        <v>1287</v>
      </c>
    </row>
    <row r="685" ht="20.25" customHeight="1">
      <c r="A685" s="5">
        <v>751.0</v>
      </c>
      <c r="B685" s="6">
        <v>251224.0</v>
      </c>
      <c r="C685" s="4"/>
      <c r="D685" s="7" t="s">
        <v>1288</v>
      </c>
      <c r="E685" s="8" t="str">
        <f>IFERROR(__xludf.DUMMYFUNCTION("IF(
  LEN(TRIM(D685))=0,
  ""왼쪽에 영어 문장을 입력하세요"",
  GOOGLETRANSLATE(D685,""en"",""ko"")
)"),"약지")</f>
        <v>약지</v>
      </c>
      <c r="F685" s="9" t="s">
        <v>1289</v>
      </c>
    </row>
    <row r="686" ht="20.25" customHeight="1">
      <c r="A686" s="5">
        <v>752.0</v>
      </c>
      <c r="B686" s="6">
        <v>251224.0</v>
      </c>
      <c r="C686" s="4"/>
      <c r="D686" s="7" t="s">
        <v>1290</v>
      </c>
      <c r="E686" s="8" t="str">
        <f>IFERROR(__xludf.DUMMYFUNCTION("IF(
  LEN(TRIM(D686))=0,
  ""왼쪽에 영어 문장을 입력하세요"",
  GOOGLETRANSLATE(D686,""en"",""ko"")
)"),"그리다")</f>
        <v>그리다</v>
      </c>
      <c r="F686" s="9" t="s">
        <v>1291</v>
      </c>
    </row>
    <row r="687" ht="20.25" customHeight="1">
      <c r="A687" s="5">
        <v>753.0</v>
      </c>
      <c r="B687" s="6">
        <v>251224.0</v>
      </c>
      <c r="C687" s="4"/>
      <c r="D687" s="7" t="s">
        <v>1292</v>
      </c>
      <c r="E687" s="8" t="str">
        <f>IFERROR(__xludf.DUMMYFUNCTION("IF(
  LEN(TRIM(D687))=0,
  ""왼쪽에 영어 문장을 입력하세요"",
  GOOGLETRANSLATE(D687,""en"",""ko"")
)"),"그녀는 자신의 경험을 활용하여 문제를 해결했다.")</f>
        <v>그녀는 자신의 경험을 활용하여 문제를 해결했다.</v>
      </c>
      <c r="F687" s="9" t="s">
        <v>1293</v>
      </c>
    </row>
    <row r="688" ht="20.25" customHeight="1">
      <c r="A688" s="5">
        <v>754.0</v>
      </c>
      <c r="B688" s="6">
        <v>251224.0</v>
      </c>
      <c r="C688" s="4"/>
      <c r="D688" s="7" t="s">
        <v>1294</v>
      </c>
      <c r="E688" s="8" t="str">
        <f>IFERROR(__xludf.DUMMYFUNCTION("IF(
  LEN(TRIM(D688))=0,
  ""왼쪽에 영어 문장을 입력하세요"",
  GOOGLETRANSLATE(D688,""en"",""ko"")
)"),"나는 너무 바빠, 정말 바빠")</f>
        <v>나는 너무 바빠, 정말 바빠</v>
      </c>
      <c r="F688" s="9" t="s">
        <v>1295</v>
      </c>
    </row>
    <row r="689" ht="20.25" customHeight="1">
      <c r="A689" s="5">
        <v>755.0</v>
      </c>
      <c r="B689" s="6">
        <v>251224.0</v>
      </c>
      <c r="C689" s="4"/>
      <c r="D689" s="7" t="s">
        <v>1296</v>
      </c>
      <c r="E689" s="8" t="str">
        <f>IFERROR(__xludf.DUMMYFUNCTION("IF(
  LEN(TRIM(D689))=0,
  ""왼쪽에 영어 문장을 입력하세요"",
  GOOGLETRANSLATE(D689,""en"",""ko"")
)"),"직감을 믿어야 해요")</f>
        <v>직감을 믿어야 해요</v>
      </c>
      <c r="F689" s="9" t="s">
        <v>1297</v>
      </c>
    </row>
    <row r="690" ht="20.25" customHeight="1">
      <c r="A690" s="5">
        <v>756.0</v>
      </c>
      <c r="B690" s="6">
        <v>251224.0</v>
      </c>
      <c r="C690" s="4"/>
      <c r="D690" s="7" t="s">
        <v>1298</v>
      </c>
      <c r="E690" s="8" t="str">
        <f>IFERROR(__xludf.DUMMYFUNCTION("IF(
  LEN(TRIM(D690))=0,
  ""왼쪽에 영어 문장을 입력하세요"",
  GOOGLETRANSLATE(D690,""en"",""ko"")
)"),"구식의")</f>
        <v>구식의</v>
      </c>
      <c r="F690" s="9" t="s">
        <v>1299</v>
      </c>
    </row>
    <row r="691" ht="20.25" customHeight="1">
      <c r="A691" s="5">
        <v>757.0</v>
      </c>
      <c r="B691" s="6">
        <v>251224.0</v>
      </c>
      <c r="C691" s="4"/>
      <c r="D691" s="7" t="s">
        <v>1300</v>
      </c>
      <c r="E691" s="8" t="str">
        <f>IFERROR(__xludf.DUMMYFUNCTION("IF(
  LEN(TRIM(D691))=0,
  ""왼쪽에 영어 문장을 입력하세요"",
  GOOGLETRANSLATE(D691,""en"",""ko"")
)"),"고리를 풀다")</f>
        <v>고리를 풀다</v>
      </c>
      <c r="F691" s="9" t="s">
        <v>1301</v>
      </c>
    </row>
    <row r="692" ht="20.25" customHeight="1">
      <c r="A692" s="5">
        <v>758.0</v>
      </c>
      <c r="B692" s="6">
        <v>251224.0</v>
      </c>
      <c r="C692" s="4"/>
      <c r="D692" s="7" t="s">
        <v>1302</v>
      </c>
      <c r="E692" s="8" t="str">
        <f>IFERROR(__xludf.DUMMYFUNCTION("IF(
  LEN(TRIM(D692))=0,
  ""왼쪽에 영어 문장을 입력하세요"",
  GOOGLETRANSLATE(D692,""en"",""ko"")
)"),"폭풍이 닥치자 긴급 전화는 쉴 새 없이 울렸다.")</f>
        <v>폭풍이 닥치자 긴급 전화는 쉴 새 없이 울렸다.</v>
      </c>
      <c r="F692" s="9" t="s">
        <v>1303</v>
      </c>
    </row>
    <row r="693" ht="20.25" customHeight="1">
      <c r="A693" s="5">
        <v>759.0</v>
      </c>
      <c r="B693" s="6">
        <v>251224.0</v>
      </c>
      <c r="C693" s="4"/>
      <c r="D693" s="7" t="s">
        <v>1304</v>
      </c>
      <c r="E693" s="8" t="str">
        <f>IFERROR(__xludf.DUMMYFUNCTION("IF(
  LEN(TRIM(D693))=0,
  ""왼쪽에 영어 문장을 입력하세요"",
  GOOGLETRANSLATE(D693,""en"",""ko"")
)"),"남작")</f>
        <v>남작</v>
      </c>
      <c r="F693" s="9" t="s">
        <v>1305</v>
      </c>
    </row>
    <row r="694" ht="20.25" customHeight="1">
      <c r="A694" s="5">
        <v>760.0</v>
      </c>
      <c r="B694" s="6">
        <v>251224.0</v>
      </c>
      <c r="C694" s="4"/>
      <c r="D694" s="7" t="s">
        <v>1306</v>
      </c>
      <c r="E694" s="8" t="str">
        <f>IFERROR(__xludf.DUMMYFUNCTION("IF(
  LEN(TRIM(D694))=0,
  ""왼쪽에 영어 문장을 입력하세요"",
  GOOGLETRANSLATE(D694,""en"",""ko"")
)"),"후추")</f>
        <v>후추</v>
      </c>
      <c r="F694" s="9" t="s">
        <v>1307</v>
      </c>
    </row>
    <row r="695" ht="20.25" customHeight="1">
      <c r="A695" s="5">
        <v>761.0</v>
      </c>
      <c r="B695" s="6">
        <v>251224.0</v>
      </c>
      <c r="C695" s="4"/>
      <c r="D695" s="7" t="s">
        <v>1308</v>
      </c>
      <c r="E695" s="8" t="str">
        <f>IFERROR(__xludf.DUMMYFUNCTION("IF(
  LEN(TRIM(D695))=0,
  ""왼쪽에 영어 문장을 입력하세요"",
  GOOGLETRANSLATE(D695,""en"",""ko"")
)"),"대담한")</f>
        <v>대담한</v>
      </c>
      <c r="F695" s="9" t="s">
        <v>1309</v>
      </c>
    </row>
    <row r="696" ht="20.25" customHeight="1">
      <c r="A696" s="5">
        <v>762.0</v>
      </c>
      <c r="B696" s="6">
        <v>251224.0</v>
      </c>
      <c r="C696" s="4"/>
      <c r="D696" s="7" t="s">
        <v>1310</v>
      </c>
      <c r="E696" s="8" t="str">
        <f>IFERROR(__xludf.DUMMYFUNCTION("IF(
  LEN(TRIM(D696))=0,
  ""왼쪽에 영어 문장을 입력하세요"",
  GOOGLETRANSLATE(D696,""en"",""ko"")
)"),"스펀지")</f>
        <v>스펀지</v>
      </c>
      <c r="F696" s="9" t="s">
        <v>1311</v>
      </c>
    </row>
    <row r="697" ht="20.25" customHeight="1">
      <c r="A697" s="5">
        <v>763.0</v>
      </c>
      <c r="B697" s="6">
        <v>251224.0</v>
      </c>
      <c r="C697" s="4"/>
      <c r="D697" s="7" t="s">
        <v>1312</v>
      </c>
      <c r="E697" s="8" t="str">
        <f>IFERROR(__xludf.DUMMYFUNCTION("IF(
  LEN(TRIM(D697))=0,
  ""왼쪽에 영어 문장을 입력하세요"",
  GOOGLETRANSLATE(D697,""en"",""ko"")
)"),"그는 평생 친척들에게 빌붙어 살았습니다.")</f>
        <v>그는 평생 친척들에게 빌붙어 살았습니다.</v>
      </c>
      <c r="F697" s="9" t="s">
        <v>1313</v>
      </c>
    </row>
    <row r="698" ht="20.25" customHeight="1">
      <c r="A698" s="5">
        <v>764.0</v>
      </c>
      <c r="B698" s="6">
        <v>251224.0</v>
      </c>
      <c r="C698" s="4"/>
      <c r="D698" s="7" t="s">
        <v>1314</v>
      </c>
      <c r="E698" s="8" t="str">
        <f>IFERROR(__xludf.DUMMYFUNCTION("IF(
  LEN(TRIM(D698))=0,
  ""왼쪽에 영어 문장을 입력하세요"",
  GOOGLETRANSLATE(D698,""en"",""ko"")
)"),"어떤 것을 선택해야 할지 확신이 서지 않는다면 직감을 따르세요.")</f>
        <v>어떤 것을 선택해야 할지 확신이 서지 않는다면 직감을 따르세요.</v>
      </c>
      <c r="F698" s="9" t="s">
        <v>1315</v>
      </c>
    </row>
    <row r="699" ht="20.25" customHeight="1">
      <c r="A699" s="5">
        <v>765.0</v>
      </c>
      <c r="B699" s="6">
        <v>251224.0</v>
      </c>
      <c r="C699" s="4"/>
      <c r="D699" s="7" t="s">
        <v>1316</v>
      </c>
      <c r="E699" s="8" t="str">
        <f>IFERROR(__xludf.DUMMYFUNCTION("IF(
  LEN(TRIM(D699))=0,
  ""왼쪽에 영어 문장을 입력하세요"",
  GOOGLETRANSLATE(D699,""en"",""ko"")
)"),"이것이 바로 인생을 때로는 짜증 나게 만들기도 하지만, 동시에 재미있고 아름답게 만드는 요소입니다.
이 모든 불확실성을 경험할 수 있다는 것 말이죠.")</f>
        <v>이것이 바로 인생을 때로는 짜증 나게 만들기도 하지만, 동시에 재미있고 아름답게 만드는 요소입니다.
이 모든 불확실성을 경험할 수 있다는 것 말이죠.</v>
      </c>
      <c r="F699" s="9" t="s">
        <v>1317</v>
      </c>
    </row>
    <row r="700" ht="20.25" customHeight="1">
      <c r="A700" s="5">
        <v>766.0</v>
      </c>
      <c r="B700" s="6">
        <v>251224.0</v>
      </c>
      <c r="C700" s="4"/>
      <c r="D700" s="7" t="s">
        <v>1318</v>
      </c>
      <c r="E700" s="8" t="str">
        <f>IFERROR(__xludf.DUMMYFUNCTION("IF(
  LEN(TRIM(D700))=0,
  ""왼쪽에 영어 문장을 입력하세요"",
  GOOGLETRANSLATE(D700,""en"",""ko"")
)"),"조금씩 뜯어먹다")</f>
        <v>조금씩 뜯어먹다</v>
      </c>
      <c r="F700" s="9" t="s">
        <v>1319</v>
      </c>
    </row>
    <row r="701" ht="20.25" customHeight="1">
      <c r="A701" s="5">
        <v>767.0</v>
      </c>
      <c r="B701" s="6">
        <v>251224.0</v>
      </c>
      <c r="C701" s="4"/>
      <c r="D701" s="7" t="s">
        <v>1320</v>
      </c>
      <c r="E701" s="8" t="str">
        <f>IFERROR(__xludf.DUMMYFUNCTION("IF(
  LEN(TRIM(D701))=0,
  ""왼쪽에 영어 문장을 입력하세요"",
  GOOGLETRANSLATE(D701,""en"",""ko"")
)"),"타협")</f>
        <v>타협</v>
      </c>
      <c r="F701" s="9" t="s">
        <v>1321</v>
      </c>
    </row>
    <row r="702" ht="20.25" customHeight="1">
      <c r="A702" s="5">
        <v>768.0</v>
      </c>
      <c r="B702" s="6">
        <v>251224.0</v>
      </c>
      <c r="C702" s="4"/>
      <c r="D702" s="7" t="s">
        <v>1322</v>
      </c>
      <c r="E702" s="8" t="str">
        <f>IFERROR(__xludf.DUMMYFUNCTION("IF(
  LEN(TRIM(D702))=0,
  ""왼쪽에 영어 문장을 입력하세요"",
  GOOGLETRANSLATE(D702,""en"",""ko"")
)"),"방해하다")</f>
        <v>방해하다</v>
      </c>
      <c r="F702" s="9" t="s">
        <v>1323</v>
      </c>
    </row>
    <row r="703" ht="20.25" customHeight="1">
      <c r="A703" s="5">
        <v>769.0</v>
      </c>
      <c r="B703" s="6">
        <v>251224.0</v>
      </c>
      <c r="C703" s="4"/>
      <c r="D703" s="7" t="s">
        <v>357</v>
      </c>
      <c r="E703" s="8" t="str">
        <f>IFERROR(__xludf.DUMMYFUNCTION("IF(
  LEN(TRIM(D703))=0,
  ""왼쪽에 영어 문장을 입력하세요"",
  GOOGLETRANSLATE(D703,""en"",""ko"")
)"),"은둔자")</f>
        <v>은둔자</v>
      </c>
      <c r="F703" s="9" t="s">
        <v>1324</v>
      </c>
    </row>
    <row r="704" ht="20.25" customHeight="1">
      <c r="A704" s="5">
        <v>770.0</v>
      </c>
      <c r="B704" s="6">
        <v>251224.0</v>
      </c>
      <c r="C704" s="4"/>
      <c r="D704" s="7" t="s">
        <v>1325</v>
      </c>
      <c r="E704" s="8" t="str">
        <f>IFERROR(__xludf.DUMMYFUNCTION("IF(
  LEN(TRIM(D704))=0,
  ""왼쪽에 영어 문장을 입력하세요"",
  GOOGLETRANSLATE(D704,""en"",""ko"")
)"),"현대의")</f>
        <v>현대의</v>
      </c>
      <c r="F704" s="9" t="s">
        <v>1326</v>
      </c>
    </row>
    <row r="705" ht="20.25" customHeight="1">
      <c r="A705" s="5">
        <v>771.0</v>
      </c>
      <c r="B705" s="6">
        <v>251224.0</v>
      </c>
      <c r="C705" s="4"/>
      <c r="D705" s="7" t="s">
        <v>1327</v>
      </c>
      <c r="E705" s="8" t="str">
        <f>IFERROR(__xludf.DUMMYFUNCTION("IF(
  LEN(TRIM(D705))=0,
  ""왼쪽에 영어 문장을 입력하세요"",
  GOOGLETRANSLATE(D705,""en"",""ko"")
)"),"어디 가는 거야?")</f>
        <v>어디 가는 거야?</v>
      </c>
      <c r="F705" s="9" t="s">
        <v>1328</v>
      </c>
    </row>
    <row r="706" ht="20.25" customHeight="1">
      <c r="A706" s="5">
        <v>772.0</v>
      </c>
      <c r="B706" s="6">
        <v>251224.0</v>
      </c>
      <c r="C706" s="4"/>
      <c r="D706" s="7" t="s">
        <v>1329</v>
      </c>
      <c r="E706" s="8" t="str">
        <f>IFERROR(__xludf.DUMMYFUNCTION("IF(
  LEN(TRIM(D706))=0,
  ""왼쪽에 영어 문장을 입력하세요"",
  GOOGLETRANSLATE(D706,""en"",""ko"")
)"),"그건 재앙을 초래할 것 같네요.")</f>
        <v>그건 재앙을 초래할 것 같네요.</v>
      </c>
      <c r="F706" s="9" t="s">
        <v>1330</v>
      </c>
    </row>
    <row r="707" ht="20.25" customHeight="1">
      <c r="A707" s="5">
        <v>773.0</v>
      </c>
      <c r="B707" s="6">
        <v>251224.0</v>
      </c>
      <c r="C707" s="4"/>
      <c r="D707" s="7" t="s">
        <v>1331</v>
      </c>
      <c r="E707" s="8" t="str">
        <f>IFERROR(__xludf.DUMMYFUNCTION("IF(
  LEN(TRIM(D707))=0,
  ""왼쪽에 영어 문장을 입력하세요"",
  GOOGLETRANSLATE(D707,""en"",""ko"")
)"),"말장난 의도는 전혀 없습니다.")</f>
        <v>말장난 의도는 전혀 없습니다.</v>
      </c>
      <c r="F707" s="9" t="s">
        <v>1332</v>
      </c>
    </row>
    <row r="708" ht="20.25" customHeight="1">
      <c r="A708" s="5">
        <v>774.0</v>
      </c>
      <c r="B708" s="6">
        <v>251224.0</v>
      </c>
      <c r="C708" s="4"/>
      <c r="D708" s="7" t="s">
        <v>1333</v>
      </c>
      <c r="E708" s="8" t="str">
        <f>IFERROR(__xludf.DUMMYFUNCTION("IF(
  LEN(TRIM(D708))=0,
  ""왼쪽에 영어 문장을 입력하세요"",
  GOOGLETRANSLATE(D708,""en"",""ko"")
)"),"선취")</f>
        <v>선취</v>
      </c>
      <c r="F708" s="9" t="s">
        <v>1334</v>
      </c>
    </row>
    <row r="709" ht="20.25" customHeight="1">
      <c r="A709" s="5">
        <v>775.0</v>
      </c>
      <c r="B709" s="6">
        <v>251224.0</v>
      </c>
      <c r="C709" s="4"/>
      <c r="D709" s="7" t="s">
        <v>1335</v>
      </c>
      <c r="E709" s="8" t="str">
        <f>IFERROR(__xludf.DUMMYFUNCTION("IF(
  LEN(TRIM(D709))=0,
  ""왼쪽에 영어 문장을 입력하세요"",
  GOOGLETRANSLATE(D709,""en"",""ko"")
)"),"사후에")</f>
        <v>사후에</v>
      </c>
      <c r="F709" s="9" t="s">
        <v>1336</v>
      </c>
    </row>
    <row r="710" ht="20.25" customHeight="1">
      <c r="A710" s="5">
        <v>776.0</v>
      </c>
      <c r="B710" s="6">
        <v>251224.0</v>
      </c>
      <c r="C710" s="4"/>
      <c r="D710" s="7" t="s">
        <v>1337</v>
      </c>
      <c r="E710" s="8" t="str">
        <f>IFERROR(__xludf.DUMMYFUNCTION("IF(
  LEN(TRIM(D710))=0,
  ""왼쪽에 영어 문장을 입력하세요"",
  GOOGLETRANSLATE(D710,""en"",""ko"")
)"),"유전")</f>
        <v>유전</v>
      </c>
      <c r="F710" s="9" t="s">
        <v>1338</v>
      </c>
    </row>
    <row r="711" ht="20.25" customHeight="1">
      <c r="A711" s="5">
        <v>777.0</v>
      </c>
      <c r="B711" s="6">
        <v>251224.0</v>
      </c>
      <c r="C711" s="4"/>
      <c r="D711" s="7" t="s">
        <v>1339</v>
      </c>
      <c r="E711" s="8" t="str">
        <f>IFERROR(__xludf.DUMMYFUNCTION("IF(
  LEN(TRIM(D711))=0,
  ""왼쪽에 영어 문장을 입력하세요"",
  GOOGLETRANSLATE(D711,""en"",""ko"")
)"),"노")</f>
        <v>노</v>
      </c>
      <c r="F711" s="9" t="s">
        <v>1340</v>
      </c>
    </row>
    <row r="712" ht="20.25" customHeight="1">
      <c r="A712" s="5">
        <v>778.0</v>
      </c>
      <c r="B712" s="6">
        <v>251224.0</v>
      </c>
      <c r="C712" s="4"/>
      <c r="D712" s="7" t="s">
        <v>1341</v>
      </c>
      <c r="E712" s="8" t="str">
        <f>IFERROR(__xludf.DUMMYFUNCTION("IF(
  LEN(TRIM(D712))=0,
  ""왼쪽에 영어 문장을 입력하세요"",
  GOOGLETRANSLATE(D712,""en"",""ko"")
)"),"사건")</f>
        <v>사건</v>
      </c>
      <c r="F712" s="9" t="s">
        <v>1342</v>
      </c>
    </row>
    <row r="713" ht="20.25" customHeight="1">
      <c r="A713" s="5">
        <v>779.0</v>
      </c>
      <c r="B713" s="6">
        <v>251224.0</v>
      </c>
      <c r="C713" s="4"/>
      <c r="D713" s="7" t="s">
        <v>1343</v>
      </c>
      <c r="E713" s="8" t="str">
        <f>IFERROR(__xludf.DUMMYFUNCTION("IF(
  LEN(TRIM(D713))=0,
  ""왼쪽에 영어 문장을 입력하세요"",
  GOOGLETRANSLATE(D713,""en"",""ko"")
)"),"덮어 끄다")</f>
        <v>덮어 끄다</v>
      </c>
      <c r="F713" s="9" t="s">
        <v>1344</v>
      </c>
    </row>
    <row r="714" ht="20.25" customHeight="1">
      <c r="A714" s="5">
        <v>780.0</v>
      </c>
      <c r="B714" s="6">
        <v>251224.0</v>
      </c>
      <c r="C714" s="4"/>
      <c r="D714" s="7" t="s">
        <v>1345</v>
      </c>
      <c r="E714" s="8" t="str">
        <f>IFERROR(__xludf.DUMMYFUNCTION("IF(
  LEN(TRIM(D714))=0,
  ""왼쪽에 영어 문장을 입력하세요"",
  GOOGLETRANSLATE(D714,""en"",""ko"")
)"),"소금은 적당히 사용하세요")</f>
        <v>소금은 적당히 사용하세요</v>
      </c>
      <c r="F714" s="9" t="s">
        <v>1346</v>
      </c>
    </row>
    <row r="715" ht="20.25" customHeight="1">
      <c r="A715" s="5">
        <v>781.0</v>
      </c>
      <c r="B715" s="6">
        <v>251224.0</v>
      </c>
      <c r="C715" s="4"/>
      <c r="D715" s="7" t="s">
        <v>1347</v>
      </c>
      <c r="E715" s="8" t="str">
        <f>IFERROR(__xludf.DUMMYFUNCTION("IF(
  LEN(TRIM(D715))=0,
  ""왼쪽에 영어 문장을 입력하세요"",
  GOOGLETRANSLATE(D715,""en"",""ko"")
)"),"얼음 위에서 천천히 ( = 얼음 위에서 천천히)")</f>
        <v>얼음 위에서 천천히 ( = 얼음 위에서 천천히)</v>
      </c>
      <c r="F715" s="9" t="s">
        <v>1348</v>
      </c>
    </row>
    <row r="716" ht="20.25" customHeight="1">
      <c r="A716" s="5">
        <v>782.0</v>
      </c>
      <c r="B716" s="6">
        <v>251224.0</v>
      </c>
      <c r="C716" s="4"/>
      <c r="D716" s="7" t="s">
        <v>1349</v>
      </c>
      <c r="E716" s="8" t="str">
        <f>IFERROR(__xludf.DUMMYFUNCTION("IF(
  LEN(TRIM(D716))=0,
  ""왼쪽에 영어 문장을 입력하세요"",
  GOOGLETRANSLATE(D716,""en"",""ko"")
)"),"투석기")</f>
        <v>투석기</v>
      </c>
      <c r="F716" s="9" t="s">
        <v>1350</v>
      </c>
    </row>
    <row r="717" ht="20.25" customHeight="1">
      <c r="A717" s="5">
        <v>783.0</v>
      </c>
      <c r="B717" s="6">
        <v>251224.0</v>
      </c>
      <c r="C717" s="4"/>
      <c r="D717" s="7" t="s">
        <v>1351</v>
      </c>
      <c r="E717" s="8" t="str">
        <f>IFERROR(__xludf.DUMMYFUNCTION("IF(
  LEN(TRIM(D717))=0,
  ""왼쪽에 영어 문장을 입력하세요"",
  GOOGLETRANSLATE(D717,""en"",""ko"")
)"),"세균이 가득한")</f>
        <v>세균이 가득한</v>
      </c>
      <c r="F717" s="9" t="s">
        <v>1352</v>
      </c>
    </row>
    <row r="718" ht="20.25" customHeight="1">
      <c r="A718" s="5">
        <v>784.0</v>
      </c>
      <c r="B718" s="6">
        <v>251224.0</v>
      </c>
      <c r="C718" s="4"/>
      <c r="D718" s="7" t="s">
        <v>1353</v>
      </c>
      <c r="E718" s="8" t="str">
        <f>IFERROR(__xludf.DUMMYFUNCTION("IF(
  LEN(TRIM(D718))=0,
  ""왼쪽에 영어 문장을 입력하세요"",
  GOOGLETRANSLATE(D718,""en"",""ko"")
)"),"준수하다")</f>
        <v>준수하다</v>
      </c>
      <c r="F718" s="9" t="s">
        <v>1354</v>
      </c>
    </row>
    <row r="719" ht="20.25" customHeight="1">
      <c r="A719" s="5">
        <v>785.0</v>
      </c>
      <c r="B719" s="6">
        <v>251224.0</v>
      </c>
      <c r="C719" s="4"/>
      <c r="D719" s="7" t="s">
        <v>1355</v>
      </c>
      <c r="E719" s="8" t="str">
        <f>IFERROR(__xludf.DUMMYFUNCTION("IF(
  LEN(TRIM(D719))=0,
  ""왼쪽에 영어 문장을 입력하세요"",
  GOOGLETRANSLATE(D719,""en"",""ko"")
)"),"평민")</f>
        <v>평민</v>
      </c>
      <c r="F719" s="9" t="s">
        <v>1356</v>
      </c>
    </row>
    <row r="720" ht="20.25" customHeight="1">
      <c r="A720" s="5">
        <v>786.0</v>
      </c>
      <c r="B720" s="6">
        <v>251224.0</v>
      </c>
      <c r="C720" s="4"/>
      <c r="D720" s="7" t="s">
        <v>1357</v>
      </c>
      <c r="E720" s="8" t="str">
        <f>IFERROR(__xludf.DUMMYFUNCTION("IF(
  LEN(TRIM(D720))=0,
  ""왼쪽에 영어 문장을 입력하세요"",
  GOOGLETRANSLATE(D720,""en"",""ko"")
)"),"관용")</f>
        <v>관용</v>
      </c>
      <c r="F720" s="9" t="s">
        <v>1358</v>
      </c>
    </row>
    <row r="721" ht="20.25" customHeight="1">
      <c r="A721" s="5">
        <v>787.0</v>
      </c>
      <c r="B721" s="6">
        <v>251224.0</v>
      </c>
      <c r="C721" s="4"/>
      <c r="D721" s="7" t="s">
        <v>1359</v>
      </c>
      <c r="E721" s="8" t="str">
        <f>IFERROR(__xludf.DUMMYFUNCTION("IF(
  LEN(TRIM(D721))=0,
  ""왼쪽에 영어 문장을 입력하세요"",
  GOOGLETRANSLATE(D721,""en"",""ko"")
)"),"상담원은 메시지를 해독하기 위해 몇 시간 동안 쉬지 않고 작업했습니다.")</f>
        <v>상담원은 메시지를 해독하기 위해 몇 시간 동안 쉬지 않고 작업했습니다.</v>
      </c>
      <c r="F721" s="9" t="s">
        <v>1360</v>
      </c>
    </row>
    <row r="722" ht="20.25" customHeight="1">
      <c r="A722" s="5">
        <v>788.0</v>
      </c>
      <c r="B722" s="6">
        <v>251224.0</v>
      </c>
      <c r="C722" s="4"/>
      <c r="D722" s="7" t="s">
        <v>1361</v>
      </c>
      <c r="E722" s="8" t="str">
        <f>IFERROR(__xludf.DUMMYFUNCTION("IF(
  LEN(TRIM(D722))=0,
  ""왼쪽에 영어 문장을 입력하세요"",
  GOOGLETRANSLATE(D722,""en"",""ko"")
)"),"나는 좋은 거래를 찾기 위해 몇 시간 동안 인터넷을 샅샅이 뒤졌다.")</f>
        <v>나는 좋은 거래를 찾기 위해 몇 시간 동안 인터넷을 샅샅이 뒤졌다.</v>
      </c>
      <c r="F722" s="9" t="s">
        <v>1362</v>
      </c>
    </row>
    <row r="723" ht="20.25" customHeight="1">
      <c r="A723" s="5">
        <v>789.0</v>
      </c>
      <c r="B723" s="6">
        <v>251224.0</v>
      </c>
      <c r="C723" s="4"/>
      <c r="D723" s="7" t="s">
        <v>1363</v>
      </c>
      <c r="E723" s="8" t="str">
        <f>IFERROR(__xludf.DUMMYFUNCTION("IF(
  LEN(TRIM(D723))=0,
  ""왼쪽에 영어 문장을 입력하세요"",
  GOOGLETRANSLATE(D723,""en"",""ko"")
)"),"겉보기에는")</f>
        <v>겉보기에는</v>
      </c>
      <c r="F723" s="9" t="s">
        <v>1364</v>
      </c>
    </row>
    <row r="724" ht="20.25" customHeight="1">
      <c r="A724" s="5">
        <v>790.0</v>
      </c>
      <c r="B724" s="6">
        <v>251224.0</v>
      </c>
      <c r="C724" s="4"/>
      <c r="D724" s="7" t="s">
        <v>1365</v>
      </c>
      <c r="E724" s="8" t="str">
        <f>IFERROR(__xludf.DUMMYFUNCTION("IF(
  LEN(TRIM(D724))=0,
  ""왼쪽에 영어 문장을 입력하세요"",
  GOOGLETRANSLATE(D724,""en"",""ko"")
)"),"더욱 심하게 하다")</f>
        <v>더욱 심하게 하다</v>
      </c>
      <c r="F724" s="9" t="s">
        <v>1366</v>
      </c>
    </row>
    <row r="725" ht="20.25" customHeight="1">
      <c r="A725" s="5">
        <v>791.0</v>
      </c>
      <c r="B725" s="6">
        <v>251224.0</v>
      </c>
      <c r="C725" s="4"/>
      <c r="D725" s="7" t="s">
        <v>1367</v>
      </c>
      <c r="E725" s="8" t="str">
        <f>IFERROR(__xludf.DUMMYFUNCTION("IF(
  LEN(TRIM(D725))=0,
  ""왼쪽에 영어 문장을 입력하세요"",
  GOOGLETRANSLATE(D725,""en"",""ko"")
)"),"마른")</f>
        <v>마른</v>
      </c>
      <c r="F725" s="9" t="s">
        <v>1368</v>
      </c>
    </row>
    <row r="726" ht="20.25" customHeight="1">
      <c r="A726" s="5">
        <v>792.0</v>
      </c>
      <c r="B726" s="6">
        <v>251224.0</v>
      </c>
      <c r="C726" s="4"/>
      <c r="D726" s="7" t="s">
        <v>1369</v>
      </c>
      <c r="E726" s="8" t="str">
        <f>IFERROR(__xludf.DUMMYFUNCTION("IF(
  LEN(TRIM(D726))=0,
  ""왼쪽에 영어 문장을 입력하세요"",
  GOOGLETRANSLATE(D726,""en"",""ko"")
)"),"회개하라")</f>
        <v>회개하라</v>
      </c>
      <c r="F726" s="9" t="s">
        <v>1370</v>
      </c>
    </row>
    <row r="727" ht="20.25" customHeight="1">
      <c r="A727" s="5">
        <v>793.0</v>
      </c>
      <c r="B727" s="6">
        <v>251224.0</v>
      </c>
      <c r="C727" s="4"/>
      <c r="D727" s="7" t="s">
        <v>1371</v>
      </c>
      <c r="E727" s="8" t="str">
        <f>IFERROR(__xludf.DUMMYFUNCTION("IF(
  LEN(TRIM(D727))=0,
  ""왼쪽에 영어 문장을 입력하세요"",
  GOOGLETRANSLATE(D727,""en"",""ko"")
)"),"분쇄")</f>
        <v>분쇄</v>
      </c>
      <c r="F727" s="9" t="s">
        <v>1372</v>
      </c>
    </row>
    <row r="728" ht="20.25" customHeight="1">
      <c r="A728" s="5">
        <v>794.0</v>
      </c>
      <c r="B728" s="6">
        <v>251224.0</v>
      </c>
      <c r="C728" s="4"/>
      <c r="D728" s="7" t="s">
        <v>1373</v>
      </c>
      <c r="E728" s="8" t="str">
        <f>IFERROR(__xludf.DUMMYFUNCTION("IF(
  LEN(TRIM(D728))=0,
  ""왼쪽에 영어 문장을 입력하세요"",
  GOOGLETRANSLATE(D728,""en"",""ko"")
)"),"위생")</f>
        <v>위생</v>
      </c>
      <c r="F728" s="9" t="s">
        <v>1374</v>
      </c>
    </row>
    <row r="729" ht="20.25" customHeight="1">
      <c r="A729" s="5">
        <v>795.0</v>
      </c>
      <c r="B729" s="6">
        <v>251224.0</v>
      </c>
      <c r="C729" s="4"/>
      <c r="D729" s="7" t="s">
        <v>1375</v>
      </c>
      <c r="E729" s="8" t="str">
        <f>IFERROR(__xludf.DUMMYFUNCTION("IF(
  LEN(TRIM(D729))=0,
  ""왼쪽에 영어 문장을 입력하세요"",
  GOOGLETRANSLATE(D729,""en"",""ko"")
)"),"충분한 고려")</f>
        <v>충분한 고려</v>
      </c>
      <c r="F729" s="9" t="s">
        <v>1376</v>
      </c>
    </row>
    <row r="730" ht="20.25" customHeight="1">
      <c r="A730" s="5">
        <v>796.0</v>
      </c>
      <c r="B730" s="6">
        <v>251224.0</v>
      </c>
      <c r="C730" s="4"/>
      <c r="D730" s="7" t="s">
        <v>1377</v>
      </c>
      <c r="E730" s="8" t="str">
        <f>IFERROR(__xludf.DUMMYFUNCTION("IF(
  LEN(TRIM(D730))=0,
  ""왼쪽에 영어 문장을 입력하세요"",
  GOOGLETRANSLATE(D730,""en"",""ko"")
)"),"섬세")</f>
        <v>섬세</v>
      </c>
      <c r="F730" s="9" t="s">
        <v>1378</v>
      </c>
    </row>
    <row r="731" ht="20.25" customHeight="1">
      <c r="A731" s="5">
        <v>797.0</v>
      </c>
      <c r="B731" s="6">
        <v>251224.0</v>
      </c>
      <c r="C731" s="4"/>
      <c r="D731" s="7" t="s">
        <v>1379</v>
      </c>
      <c r="E731" s="8" t="str">
        <f>IFERROR(__xludf.DUMMYFUNCTION("IF(
  LEN(TRIM(D731))=0,
  ""왼쪽에 영어 문장을 입력하세요"",
  GOOGLETRANSLATE(D731,""en"",""ko"")
)"),"자치")</f>
        <v>자치</v>
      </c>
      <c r="F731" s="9" t="s">
        <v>1380</v>
      </c>
    </row>
    <row r="732" ht="20.25" customHeight="1">
      <c r="A732" s="5">
        <v>798.0</v>
      </c>
      <c r="B732" s="6">
        <v>251224.0</v>
      </c>
      <c r="C732" s="4"/>
      <c r="D732" s="7" t="s">
        <v>1381</v>
      </c>
      <c r="E732" s="8" t="str">
        <f>IFERROR(__xludf.DUMMYFUNCTION("IF(
  LEN(TRIM(D732))=0,
  ""왼쪽에 영어 문장을 입력하세요"",
  GOOGLETRANSLATE(D732,""en"",""ko"")
)"),"도피")</f>
        <v>도피</v>
      </c>
      <c r="F732" s="9" t="s">
        <v>1382</v>
      </c>
    </row>
    <row r="733" ht="20.25" customHeight="1">
      <c r="A733" s="5">
        <v>799.0</v>
      </c>
      <c r="B733" s="6">
        <v>251224.0</v>
      </c>
      <c r="C733" s="4"/>
      <c r="D733" s="7" t="s">
        <v>1383</v>
      </c>
      <c r="E733" s="8" t="str">
        <f>IFERROR(__xludf.DUMMYFUNCTION("IF(
  LEN(TRIM(D733))=0,
  ""왼쪽에 영어 문장을 입력하세요"",
  GOOGLETRANSLATE(D733,""en"",""ko"")
)"),"한창 젊은")</f>
        <v>한창 젊은</v>
      </c>
      <c r="F733" s="9" t="s">
        <v>1384</v>
      </c>
    </row>
    <row r="734" ht="20.25" customHeight="1">
      <c r="A734" s="5">
        <v>800.0</v>
      </c>
      <c r="B734" s="6">
        <v>251224.0</v>
      </c>
      <c r="C734" s="4"/>
      <c r="D734" s="7" t="s">
        <v>1385</v>
      </c>
      <c r="E734" s="8" t="str">
        <f>IFERROR(__xludf.DUMMYFUNCTION("IF(
  LEN(TRIM(D734))=0,
  ""왼쪽에 영어 문장을 입력하세요"",
  GOOGLETRANSLATE(D734,""en"",""ko"")
)"),"공범자")</f>
        <v>공범자</v>
      </c>
      <c r="F734" s="9" t="s">
        <v>1386</v>
      </c>
    </row>
    <row r="735" ht="20.25" customHeight="1">
      <c r="A735" s="5">
        <v>801.0</v>
      </c>
      <c r="B735" s="6">
        <v>251224.0</v>
      </c>
      <c r="C735" s="4"/>
      <c r="D735" s="7" t="s">
        <v>1387</v>
      </c>
      <c r="E735" s="8" t="str">
        <f>IFERROR(__xludf.DUMMYFUNCTION("IF(
  LEN(TRIM(D735))=0,
  ""왼쪽에 영어 문장을 입력하세요"",
  GOOGLETRANSLATE(D735,""en"",""ko"")
)"),"나는 그들을 잘못된 길로 이끌고 싶지 않아.")</f>
        <v>나는 그들을 잘못된 길로 이끌고 싶지 않아.</v>
      </c>
      <c r="F735" s="9" t="s">
        <v>1388</v>
      </c>
    </row>
    <row r="736" ht="20.25" customHeight="1">
      <c r="A736" s="5">
        <v>802.0</v>
      </c>
      <c r="B736" s="6">
        <v>251224.0</v>
      </c>
      <c r="C736" s="4"/>
      <c r="D736" s="7" t="s">
        <v>1389</v>
      </c>
      <c r="E736" s="8" t="str">
        <f>IFERROR(__xludf.DUMMYFUNCTION("IF(
  LEN(TRIM(D736))=0,
  ""왼쪽에 영어 문장을 입력하세요"",
  GOOGLETRANSLATE(D736,""en"",""ko"")
)"),"나는 그들에게 헛된 희망을 주고 싶지 않아.")</f>
        <v>나는 그들에게 헛된 희망을 주고 싶지 않아.</v>
      </c>
      <c r="F736" s="9" t="s">
        <v>1390</v>
      </c>
    </row>
    <row r="737" ht="20.25" customHeight="1">
      <c r="A737" s="5">
        <v>803.0</v>
      </c>
      <c r="B737" s="6">
        <v>251224.0</v>
      </c>
      <c r="C737" s="4"/>
      <c r="D737" s="7" t="s">
        <v>1391</v>
      </c>
      <c r="E737" s="8" t="str">
        <f>IFERROR(__xludf.DUMMYFUNCTION("IF(
  LEN(TRIM(D737))=0,
  ""왼쪽에 영어 문장을 입력하세요"",
  GOOGLETRANSLATE(D737,""en"",""ko"")
)"),"같은 말을 반복하는 것처럼 들리려는 건 아니에요.")</f>
        <v>같은 말을 반복하는 것처럼 들리려는 건 아니에요.</v>
      </c>
      <c r="F737" s="9" t="s">
        <v>1392</v>
      </c>
    </row>
    <row r="738" ht="20.25" customHeight="1">
      <c r="A738" s="5">
        <v>804.0</v>
      </c>
      <c r="B738" s="6">
        <v>251224.0</v>
      </c>
      <c r="C738" s="4"/>
      <c r="D738" s="7" t="s">
        <v>1393</v>
      </c>
      <c r="E738" s="8" t="str">
        <f>IFERROR(__xludf.DUMMYFUNCTION("IF(
  LEN(TRIM(D738))=0,
  ""왼쪽에 영어 문장을 입력하세요"",
  GOOGLETRANSLATE(D738,""en"",""ko"")
)"),"그녀는 마치 고장난 레코드처럼 숙제에 대해 끊임없이 잔소리를 하는 것 같아요.")</f>
        <v>그녀는 마치 고장난 레코드처럼 숙제에 대해 끊임없이 잔소리를 하는 것 같아요.</v>
      </c>
      <c r="F738" s="9" t="s">
        <v>1394</v>
      </c>
    </row>
    <row r="739" ht="20.25" customHeight="1">
      <c r="A739" s="5">
        <v>805.0</v>
      </c>
      <c r="B739" s="6">
        <v>251224.0</v>
      </c>
      <c r="C739" s="4"/>
      <c r="D739" s="7" t="s">
        <v>1395</v>
      </c>
      <c r="E739" s="8" t="str">
        <f>IFERROR(__xludf.DUMMYFUNCTION("IF(
  LEN(TRIM(D739))=0,
  ""왼쪽에 영어 문장을 입력하세요"",
  GOOGLETRANSLATE(D739,""en"",""ko"")
)"),"확신")</f>
        <v>확신</v>
      </c>
      <c r="F739" s="9" t="s">
        <v>1396</v>
      </c>
    </row>
    <row r="740" ht="20.25" customHeight="1">
      <c r="A740" s="5">
        <v>806.0</v>
      </c>
      <c r="B740" s="6">
        <v>251224.0</v>
      </c>
      <c r="C740" s="4"/>
      <c r="D740" s="7" t="s">
        <v>1397</v>
      </c>
      <c r="E740" s="8" t="str">
        <f>IFERROR(__xludf.DUMMYFUNCTION("IF(
  LEN(TRIM(D740))=0,
  ""왼쪽에 영어 문장을 입력하세요"",
  GOOGLETRANSLATE(D740,""en"",""ko"")
)"),"기소")</f>
        <v>기소</v>
      </c>
      <c r="F740" s="9" t="s">
        <v>1398</v>
      </c>
    </row>
    <row r="741" ht="20.25" customHeight="1">
      <c r="A741" s="5">
        <v>807.0</v>
      </c>
      <c r="B741" s="6">
        <v>251224.0</v>
      </c>
      <c r="C741" s="4"/>
      <c r="D741" s="7" t="s">
        <v>1399</v>
      </c>
      <c r="E741" s="8" t="str">
        <f>IFERROR(__xludf.DUMMYFUNCTION("IF(
  LEN(TRIM(D741))=0,
  ""왼쪽에 영어 문장을 입력하세요"",
  GOOGLETRANSLATE(D741,""en"",""ko"")
)"),"제명")</f>
        <v>제명</v>
      </c>
      <c r="F741" s="9" t="s">
        <v>1400</v>
      </c>
    </row>
    <row r="742" ht="20.25" customHeight="1">
      <c r="A742" s="5">
        <v>808.0</v>
      </c>
      <c r="B742" s="6">
        <v>251224.0</v>
      </c>
      <c r="C742" s="4"/>
      <c r="D742" s="7" t="s">
        <v>1401</v>
      </c>
      <c r="E742" s="8" t="str">
        <f>IFERROR(__xludf.DUMMYFUNCTION("IF(
  LEN(TRIM(D742))=0,
  ""왼쪽에 영어 문장을 입력하세요"",
  GOOGLETRANSLATE(D742,""en"",""ko"")
)"),"좌초하다")</f>
        <v>좌초하다</v>
      </c>
      <c r="F742" s="9" t="s">
        <v>1402</v>
      </c>
    </row>
    <row r="743" ht="20.25" customHeight="1">
      <c r="A743" s="5">
        <v>809.0</v>
      </c>
      <c r="B743" s="6">
        <v>251224.0</v>
      </c>
      <c r="C743" s="4"/>
      <c r="D743" s="7" t="s">
        <v>1403</v>
      </c>
      <c r="E743" s="8" t="str">
        <f>IFERROR(__xludf.DUMMYFUNCTION("IF(
  LEN(TRIM(D743))=0,
  ""왼쪽에 영어 문장을 입력하세요"",
  GOOGLETRANSLATE(D743,""en"",""ko"")
)"),"지속 가능한")</f>
        <v>지속 가능한</v>
      </c>
      <c r="F743" s="9" t="s">
        <v>1404</v>
      </c>
    </row>
    <row r="744" ht="20.25" customHeight="1">
      <c r="A744" s="5">
        <v>810.0</v>
      </c>
      <c r="B744" s="6">
        <v>251224.0</v>
      </c>
      <c r="C744" s="4"/>
      <c r="D744" s="7" t="s">
        <v>1405</v>
      </c>
      <c r="E744" s="8" t="str">
        <f>IFERROR(__xludf.DUMMYFUNCTION("IF(
  LEN(TRIM(D744))=0,
  ""왼쪽에 영어 문장을 입력하세요"",
  GOOGLETRANSLATE(D744,""en"",""ko"")
)"),"비우다")</f>
        <v>비우다</v>
      </c>
      <c r="F744" s="9" t="s">
        <v>1406</v>
      </c>
    </row>
    <row r="745" ht="20.25" customHeight="1">
      <c r="A745" s="5">
        <v>811.0</v>
      </c>
      <c r="B745" s="6">
        <v>251224.0</v>
      </c>
      <c r="C745" s="4"/>
      <c r="D745" s="7" t="s">
        <v>1407</v>
      </c>
      <c r="E745" s="8" t="str">
        <f>IFERROR(__xludf.DUMMYFUNCTION("IF(
  LEN(TRIM(D745))=0,
  ""왼쪽에 영어 문장을 입력하세요"",
  GOOGLETRANSLATE(D745,""en"",""ko"")
)"),"건강을 당연하게 여기지 마세요. 나이가 들면서 많은 것이 변할 겁니다.")</f>
        <v>건강을 당연하게 여기지 마세요. 나이가 들면서 많은 것이 변할 겁니다.</v>
      </c>
      <c r="F745" s="9" t="s">
        <v>1408</v>
      </c>
    </row>
    <row r="746" ht="20.25" customHeight="1">
      <c r="A746" s="5">
        <v>812.0</v>
      </c>
      <c r="B746" s="6">
        <v>251224.0</v>
      </c>
      <c r="C746" s="4"/>
      <c r="D746" s="7" t="s">
        <v>1409</v>
      </c>
      <c r="E746" s="8" t="str">
        <f>IFERROR(__xludf.DUMMYFUNCTION("IF(
  LEN(TRIM(D746))=0,
  ""왼쪽에 영어 문장을 입력하세요"",
  GOOGLETRANSLATE(D746,""en"",""ko"")
)"),"깨끗한 물을 당연하게 여기지 마세요.")</f>
        <v>깨끗한 물을 당연하게 여기지 마세요.</v>
      </c>
      <c r="F746" s="9" t="s">
        <v>1410</v>
      </c>
    </row>
    <row r="747" ht="20.25" customHeight="1">
      <c r="A747" s="5">
        <v>813.0</v>
      </c>
      <c r="B747" s="6">
        <v>251224.0</v>
      </c>
      <c r="C747" s="4"/>
      <c r="D747" s="7" t="s">
        <v>1411</v>
      </c>
      <c r="E747" s="8" t="str">
        <f>IFERROR(__xludf.DUMMYFUNCTION("IF(
  LEN(TRIM(D747))=0,
  ""왼쪽에 영어 문장을 입력하세요"",
  GOOGLETRANSLATE(D747,""en"",""ko"")
)"),"우리는 균형을 유지하는 능력을 당연하게 여긴다.")</f>
        <v>우리는 균형을 유지하는 능력을 당연하게 여긴다.</v>
      </c>
      <c r="F747" s="9" t="s">
        <v>1412</v>
      </c>
    </row>
    <row r="748" ht="20.25" customHeight="1">
      <c r="A748" s="5">
        <v>814.0</v>
      </c>
      <c r="B748" s="6">
        <v>251224.0</v>
      </c>
      <c r="C748" s="4"/>
      <c r="D748" s="7" t="s">
        <v>1413</v>
      </c>
      <c r="E748" s="8" t="str">
        <f>IFERROR(__xludf.DUMMYFUNCTION("IF(
  LEN(TRIM(D748))=0,
  ""왼쪽에 영어 문장을 입력하세요"",
  GOOGLETRANSLATE(D748,""en"",""ko"")
)"),"발굴")</f>
        <v>발굴</v>
      </c>
      <c r="F748" s="9" t="s">
        <v>1414</v>
      </c>
    </row>
    <row r="749" ht="20.25" customHeight="1">
      <c r="A749" s="5">
        <v>815.0</v>
      </c>
      <c r="B749" s="6">
        <v>251224.0</v>
      </c>
      <c r="C749" s="4"/>
      <c r="D749" s="7" t="s">
        <v>695</v>
      </c>
      <c r="E749" s="8" t="str">
        <f>IFERROR(__xludf.DUMMYFUNCTION("IF(
  LEN(TRIM(D749))=0,
  ""왼쪽에 영어 문장을 입력하세요"",
  GOOGLETRANSLATE(D749,""en"",""ko"")
)"),"분별 없는")</f>
        <v>분별 없는</v>
      </c>
      <c r="F749" s="9" t="s">
        <v>696</v>
      </c>
    </row>
    <row r="750" ht="20.25" customHeight="1">
      <c r="A750" s="5">
        <v>816.0</v>
      </c>
      <c r="B750" s="6">
        <v>251224.0</v>
      </c>
      <c r="C750" s="4"/>
      <c r="D750" s="7" t="s">
        <v>1415</v>
      </c>
      <c r="E750" s="8" t="str">
        <f>IFERROR(__xludf.DUMMYFUNCTION("IF(
  LEN(TRIM(D750))=0,
  ""왼쪽에 영어 문장을 입력하세요"",
  GOOGLETRANSLATE(D750,""en"",""ko"")
)"),"임상 시험")</f>
        <v>임상 시험</v>
      </c>
      <c r="F750" s="9" t="s">
        <v>1416</v>
      </c>
    </row>
    <row r="751" ht="20.25" customHeight="1">
      <c r="A751" s="5">
        <v>817.0</v>
      </c>
      <c r="B751" s="6">
        <v>251224.0</v>
      </c>
      <c r="C751" s="4"/>
      <c r="D751" s="7" t="s">
        <v>1417</v>
      </c>
      <c r="E751" s="8" t="str">
        <f>IFERROR(__xludf.DUMMYFUNCTION("IF(
  LEN(TRIM(D751))=0,
  ""왼쪽에 영어 문장을 입력하세요"",
  GOOGLETRANSLATE(D751,""en"",""ko"")
)"),"항우울제")</f>
        <v>항우울제</v>
      </c>
      <c r="F751" s="9" t="s">
        <v>1418</v>
      </c>
    </row>
    <row r="752" ht="20.25" customHeight="1">
      <c r="A752" s="5">
        <v>818.0</v>
      </c>
      <c r="B752" s="6">
        <v>251224.0</v>
      </c>
      <c r="C752" s="4"/>
      <c r="D752" s="7" t="s">
        <v>1419</v>
      </c>
      <c r="E752" s="8" t="str">
        <f>IFERROR(__xludf.DUMMYFUNCTION("IF(
  LEN(TRIM(D752))=0,
  ""왼쪽에 영어 문장을 입력하세요"",
  GOOGLETRANSLATE(D752,""en"",""ko"")
)"),"달래다")</f>
        <v>달래다</v>
      </c>
      <c r="F752" s="9" t="s">
        <v>1420</v>
      </c>
    </row>
    <row r="753" ht="20.25" customHeight="1">
      <c r="A753" s="5">
        <v>819.0</v>
      </c>
      <c r="B753" s="6">
        <v>251224.0</v>
      </c>
      <c r="C753" s="4"/>
      <c r="D753" s="7" t="s">
        <v>1421</v>
      </c>
      <c r="E753" s="8" t="str">
        <f>IFERROR(__xludf.DUMMYFUNCTION("IF(
  LEN(TRIM(D753))=0,
  ""왼쪽에 영어 문장을 입력하세요"",
  GOOGLETRANSLATE(D753,""en"",""ko"")
)"),"만족")</f>
        <v>만족</v>
      </c>
      <c r="F753" s="9" t="s">
        <v>1422</v>
      </c>
    </row>
    <row r="754" ht="20.25" customHeight="1">
      <c r="A754" s="5">
        <v>820.0</v>
      </c>
      <c r="B754" s="6">
        <v>251224.0</v>
      </c>
      <c r="C754" s="4"/>
      <c r="D754" s="7" t="s">
        <v>1423</v>
      </c>
      <c r="E754" s="8" t="str">
        <f>IFERROR(__xludf.DUMMYFUNCTION("IF(
  LEN(TRIM(D754))=0,
  ""왼쪽에 영어 문장을 입력하세요"",
  GOOGLETRANSLATE(D754,""en"",""ko"")
)"),"낙수효과")</f>
        <v>낙수효과</v>
      </c>
      <c r="F754" s="9" t="s">
        <v>1424</v>
      </c>
    </row>
    <row r="755">
      <c r="A755" s="5">
        <v>821.0</v>
      </c>
      <c r="B755" s="6">
        <v>251224.0</v>
      </c>
      <c r="C755" s="4"/>
      <c r="D755" s="7" t="s">
        <v>1425</v>
      </c>
      <c r="E755" s="8" t="str">
        <f>IFERROR(__xludf.DUMMYFUNCTION("IF(
  LEN(TRIM(D755))=0,
  ""왼쪽에 영어 문장을 입력하세요"",
  GOOGLETRANSLATE(D755,""en"",""ko"")
)"),"그렇게 하지 않기가 정말 힘들어요. 제 휴대폰이 바로 옆에서 충전 중이거든요.
집어들기가 너무 쉬워요.")</f>
        <v>그렇게 하지 않기가 정말 힘들어요. 제 휴대폰이 바로 옆에서 충전 중이거든요.
집어들기가 너무 쉬워요.</v>
      </c>
      <c r="F755" s="9" t="s">
        <v>1426</v>
      </c>
    </row>
    <row r="756" ht="20.25" customHeight="1">
      <c r="A756" s="5">
        <v>822.0</v>
      </c>
      <c r="B756" s="6">
        <v>251224.0</v>
      </c>
      <c r="C756" s="4"/>
      <c r="D756" s="7" t="s">
        <v>1427</v>
      </c>
      <c r="E756" s="8" t="str">
        <f>IFERROR(__xludf.DUMMYFUNCTION("IF(
  LEN(TRIM(D756))=0,
  ""왼쪽에 영어 문장을 입력하세요"",
  GOOGLETRANSLATE(D756,""en"",""ko"")
)"),"과시하다")</f>
        <v>과시하다</v>
      </c>
      <c r="F756" s="9" t="s">
        <v>1428</v>
      </c>
    </row>
    <row r="757" ht="20.25" customHeight="1">
      <c r="A757" s="5">
        <v>823.0</v>
      </c>
      <c r="B757" s="6">
        <v>251224.0</v>
      </c>
      <c r="C757" s="4"/>
      <c r="D757" s="7" t="s">
        <v>1429</v>
      </c>
      <c r="E757" s="8" t="str">
        <f>IFERROR(__xludf.DUMMYFUNCTION("IF(
  LEN(TRIM(D757))=0,
  ""왼쪽에 영어 문장을 입력하세요"",
  GOOGLETRANSLATE(D757,""en"",""ko"")
)"),"인수하다")</f>
        <v>인수하다</v>
      </c>
      <c r="F757" s="9" t="s">
        <v>1430</v>
      </c>
    </row>
    <row r="758" ht="20.25" customHeight="1">
      <c r="A758" s="5">
        <v>824.0</v>
      </c>
      <c r="B758" s="6">
        <v>251224.0</v>
      </c>
      <c r="C758" s="4"/>
      <c r="D758" s="7" t="s">
        <v>1431</v>
      </c>
      <c r="E758" s="8" t="str">
        <f>IFERROR(__xludf.DUMMYFUNCTION("IF(
  LEN(TRIM(D758))=0,
  ""왼쪽에 영어 문장을 입력하세요"",
  GOOGLETRANSLATE(D758,""en"",""ko"")
)"),"파티")</f>
        <v>파티</v>
      </c>
      <c r="F758" s="9" t="s">
        <v>1432</v>
      </c>
    </row>
    <row r="759" ht="20.25" customHeight="1">
      <c r="A759" s="5">
        <v>825.0</v>
      </c>
      <c r="B759" s="6">
        <v>251224.0</v>
      </c>
      <c r="C759" s="4"/>
      <c r="D759" s="7" t="s">
        <v>1433</v>
      </c>
      <c r="E759" s="8" t="str">
        <f>IFERROR(__xludf.DUMMYFUNCTION("IF(
  LEN(TRIM(D759))=0,
  ""왼쪽에 영어 문장을 입력하세요"",
  GOOGLETRANSLATE(D759,""en"",""ko"")
)"),"몰아보기")</f>
        <v>몰아보기</v>
      </c>
      <c r="F759" s="9" t="s">
        <v>1434</v>
      </c>
    </row>
    <row r="760" ht="20.25" customHeight="1">
      <c r="A760" s="5">
        <v>826.0</v>
      </c>
      <c r="B760" s="6">
        <v>251224.0</v>
      </c>
      <c r="C760" s="4"/>
      <c r="D760" s="7" t="s">
        <v>1435</v>
      </c>
      <c r="E760" s="8" t="str">
        <f>IFERROR(__xludf.DUMMYFUNCTION("IF(
  LEN(TRIM(D760))=0,
  ""왼쪽에 영어 문장을 입력하세요"",
  GOOGLETRANSLATE(D760,""en"",""ko"")
)"),"회상하는")</f>
        <v>회상하는</v>
      </c>
      <c r="F760" s="9" t="s">
        <v>1436</v>
      </c>
    </row>
    <row r="761" ht="20.25" customHeight="1">
      <c r="A761" s="5">
        <v>827.0</v>
      </c>
      <c r="B761" s="6">
        <v>251224.0</v>
      </c>
      <c r="C761" s="4"/>
      <c r="D761" s="7" t="s">
        <v>1437</v>
      </c>
      <c r="E761" s="8" t="str">
        <f>IFERROR(__xludf.DUMMYFUNCTION("IF(
  LEN(TRIM(D761))=0,
  ""왼쪽에 영어 문장을 입력하세요"",
  GOOGLETRANSLATE(D761,""en"",""ko"")
)"),"반박")</f>
        <v>반박</v>
      </c>
      <c r="F761" s="9" t="s">
        <v>1438</v>
      </c>
    </row>
    <row r="762" ht="20.25" customHeight="1">
      <c r="A762" s="5">
        <v>828.0</v>
      </c>
      <c r="B762" s="6">
        <v>251224.0</v>
      </c>
      <c r="C762" s="4"/>
      <c r="D762" s="7" t="s">
        <v>1439</v>
      </c>
      <c r="E762" s="8" t="str">
        <f>IFERROR(__xludf.DUMMYFUNCTION("IF(
  LEN(TRIM(D762))=0,
  ""왼쪽에 영어 문장을 입력하세요"",
  GOOGLETRANSLATE(D762,""en"",""ko"")
)"),"자세에 신경 쓰세요")</f>
        <v>자세에 신경 쓰세요</v>
      </c>
      <c r="F762" s="9" t="s">
        <v>1440</v>
      </c>
    </row>
    <row r="763" ht="20.25" customHeight="1">
      <c r="A763" s="5">
        <v>829.0</v>
      </c>
      <c r="B763" s="6">
        <v>251224.0</v>
      </c>
      <c r="C763" s="4"/>
      <c r="D763" s="7" t="s">
        <v>1441</v>
      </c>
      <c r="E763" s="8" t="str">
        <f>IFERROR(__xludf.DUMMYFUNCTION("IF(
  LEN(TRIM(D763))=0,
  ""왼쪽에 영어 문장을 입력하세요"",
  GOOGLETRANSLATE(D763,""en"",""ko"")
)"),"모든 사람이 책임감 때문에 투표하는 것은 아닙니다.")</f>
        <v>모든 사람이 책임감 때문에 투표하는 것은 아닙니다.</v>
      </c>
      <c r="F763" s="9" t="s">
        <v>1442</v>
      </c>
    </row>
    <row r="764" ht="20.25" customHeight="1">
      <c r="A764" s="5">
        <v>830.0</v>
      </c>
      <c r="B764" s="6">
        <v>251224.0</v>
      </c>
      <c r="C764" s="4"/>
      <c r="D764" s="7" t="s">
        <v>1443</v>
      </c>
      <c r="E764" s="8" t="str">
        <f>IFERROR(__xludf.DUMMYFUNCTION("IF(
  LEN(TRIM(D764))=0,
  ""왼쪽에 영어 문장을 입력하세요"",
  GOOGLETRANSLATE(D764,""en"",""ko"")
)"),"무너지는")</f>
        <v>무너지는</v>
      </c>
      <c r="F764" s="9" t="s">
        <v>1444</v>
      </c>
    </row>
    <row r="765" ht="20.25" customHeight="1">
      <c r="A765" s="5">
        <v>831.0</v>
      </c>
      <c r="B765" s="6">
        <v>251224.0</v>
      </c>
      <c r="C765" s="4"/>
      <c r="D765" s="7" t="s">
        <v>558</v>
      </c>
      <c r="E765" s="8" t="str">
        <f>IFERROR(__xludf.DUMMYFUNCTION("IF(
  LEN(TRIM(D765))=0,
  ""왼쪽에 영어 문장을 입력하세요"",
  GOOGLETRANSLATE(D765,""en"",""ko"")
)"),"약화시키다")</f>
        <v>약화시키다</v>
      </c>
      <c r="F765" s="9" t="s">
        <v>1445</v>
      </c>
    </row>
    <row r="766" ht="20.25" customHeight="1">
      <c r="A766" s="5">
        <v>832.0</v>
      </c>
      <c r="B766" s="6">
        <v>251224.0</v>
      </c>
      <c r="C766" s="4"/>
      <c r="D766" s="7" t="s">
        <v>1446</v>
      </c>
      <c r="E766" s="8" t="str">
        <f>IFERROR(__xludf.DUMMYFUNCTION("IF(
  LEN(TRIM(D766))=0,
  ""왼쪽에 영어 문장을 입력하세요"",
  GOOGLETRANSLATE(D766,""en"",""ko"")
)"),"짓밟다")</f>
        <v>짓밟다</v>
      </c>
      <c r="F766" s="9" t="s">
        <v>1447</v>
      </c>
    </row>
    <row r="767" ht="20.25" customHeight="1">
      <c r="A767" s="5">
        <v>833.0</v>
      </c>
      <c r="B767" s="6">
        <v>251224.0</v>
      </c>
      <c r="C767" s="4"/>
      <c r="D767" s="7" t="s">
        <v>1448</v>
      </c>
      <c r="E767" s="8" t="str">
        <f>IFERROR(__xludf.DUMMYFUNCTION("IF(
  LEN(TRIM(D767))=0,
  ""왼쪽에 영어 문장을 입력하세요"",
  GOOGLETRANSLATE(D767,""en"",""ko"")
)"),"화나게 하다")</f>
        <v>화나게 하다</v>
      </c>
      <c r="F767" s="9" t="s">
        <v>1449</v>
      </c>
    </row>
    <row r="768" ht="20.25" customHeight="1">
      <c r="A768" s="5">
        <v>834.0</v>
      </c>
      <c r="B768" s="6">
        <v>251224.0</v>
      </c>
      <c r="C768" s="4"/>
      <c r="D768" s="7" t="s">
        <v>1450</v>
      </c>
      <c r="E768" s="8" t="str">
        <f>IFERROR(__xludf.DUMMYFUNCTION("IF(
  LEN(TRIM(D768))=0,
  ""왼쪽에 영어 문장을 입력하세요"",
  GOOGLETRANSLATE(D768,""en"",""ko"")
)"),"무거운")</f>
        <v>무거운</v>
      </c>
      <c r="F768" s="9" t="s">
        <v>1451</v>
      </c>
    </row>
    <row r="769" ht="20.25" customHeight="1">
      <c r="A769" s="5">
        <v>835.0</v>
      </c>
      <c r="B769" s="6">
        <v>251224.0</v>
      </c>
      <c r="C769" s="4"/>
      <c r="D769" s="7" t="s">
        <v>1452</v>
      </c>
      <c r="E769" s="8" t="str">
        <f>IFERROR(__xludf.DUMMYFUNCTION("IF(
  LEN(TRIM(D769))=0,
  ""왼쪽에 영어 문장을 입력하세요"",
  GOOGLETRANSLATE(D769,""en"",""ko"")
)"),"급여의 상당한 인상")</f>
        <v>급여의 상당한 인상</v>
      </c>
      <c r="F769" s="9" t="s">
        <v>1453</v>
      </c>
    </row>
    <row r="770" ht="20.25" customHeight="1">
      <c r="A770" s="5">
        <v>836.0</v>
      </c>
      <c r="B770" s="6">
        <v>251224.0</v>
      </c>
      <c r="C770" s="4"/>
      <c r="D770" s="7" t="s">
        <v>1454</v>
      </c>
      <c r="E770" s="8" t="str">
        <f>IFERROR(__xludf.DUMMYFUNCTION("IF(
  LEN(TRIM(D770))=0,
  ""왼쪽에 영어 문장을 입력하세요"",
  GOOGLETRANSLATE(D770,""en"",""ko"")
)"),"높은 가격")</f>
        <v>높은 가격</v>
      </c>
      <c r="F770" s="9" t="s">
        <v>1455</v>
      </c>
    </row>
    <row r="771" ht="20.25" customHeight="1">
      <c r="A771" s="5">
        <v>837.0</v>
      </c>
      <c r="B771" s="6">
        <v>251224.0</v>
      </c>
      <c r="C771" s="4"/>
      <c r="D771" s="7" t="s">
        <v>1456</v>
      </c>
      <c r="E771" s="8" t="str">
        <f>IFERROR(__xludf.DUMMYFUNCTION("IF(
  LEN(TRIM(D771))=0,
  ""왼쪽에 영어 문장을 입력하세요"",
  GOOGLETRANSLATE(D771,""en"",""ko"")
)"),"설사")</f>
        <v>설사</v>
      </c>
      <c r="F771" s="9" t="s">
        <v>1457</v>
      </c>
    </row>
    <row r="772" ht="20.25" customHeight="1">
      <c r="A772" s="5">
        <v>838.0</v>
      </c>
      <c r="B772" s="6">
        <v>251224.0</v>
      </c>
      <c r="C772" s="4"/>
      <c r="D772" s="7" t="s">
        <v>779</v>
      </c>
      <c r="E772" s="8" t="str">
        <f>IFERROR(__xludf.DUMMYFUNCTION("IF(
  LEN(TRIM(D772))=0,
  ""왼쪽에 영어 문장을 입력하세요"",
  GOOGLETRANSLATE(D772,""en"",""ko"")
)"),"가볍게 이야기 나누다")</f>
        <v>가볍게 이야기 나누다</v>
      </c>
      <c r="F772" s="9" t="s">
        <v>1458</v>
      </c>
    </row>
    <row r="773" ht="20.25" customHeight="1">
      <c r="A773" s="5">
        <v>839.0</v>
      </c>
      <c r="B773" s="6">
        <v>251224.0</v>
      </c>
      <c r="C773" s="4"/>
      <c r="D773" s="7" t="s">
        <v>1459</v>
      </c>
      <c r="E773" s="8" t="str">
        <f>IFERROR(__xludf.DUMMYFUNCTION("IF(
  LEN(TRIM(D773))=0,
  ""왼쪽에 영어 문장을 입력하세요"",
  GOOGLETRANSLATE(D773,""en"",""ko"")
)"),"대부분의 사람들은 스마트폰에 얼굴을 파묻고 있다.")</f>
        <v>대부분의 사람들은 스마트폰에 얼굴을 파묻고 있다.</v>
      </c>
      <c r="F773" s="9" t="s">
        <v>1460</v>
      </c>
    </row>
    <row r="774" ht="20.25" customHeight="1">
      <c r="A774" s="5">
        <v>840.0</v>
      </c>
      <c r="B774" s="6">
        <v>251224.0</v>
      </c>
      <c r="C774" s="4"/>
      <c r="D774" s="7" t="s">
        <v>1461</v>
      </c>
      <c r="E774" s="8" t="str">
        <f>IFERROR(__xludf.DUMMYFUNCTION("IF(
  LEN(TRIM(D774))=0,
  ""왼쪽에 영어 문장을 입력하세요"",
  GOOGLETRANSLATE(D774,""en"",""ko"")
)"),"그녀는 책 속에 자신의 얼굴을 담아두었다.")</f>
        <v>그녀는 책 속에 자신의 얼굴을 담아두었다.</v>
      </c>
      <c r="F774" s="9" t="s">
        <v>1462</v>
      </c>
    </row>
    <row r="775" ht="20.25" customHeight="1">
      <c r="A775" s="5">
        <v>841.0</v>
      </c>
      <c r="B775" s="6">
        <v>251224.0</v>
      </c>
      <c r="C775" s="4"/>
      <c r="D775" s="7" t="s">
        <v>1463</v>
      </c>
      <c r="E775" s="8" t="str">
        <f>IFERROR(__xludf.DUMMYFUNCTION("IF(
  LEN(TRIM(D775))=0,
  ""왼쪽에 영어 문장을 입력하세요"",
  GOOGLETRANSLATE(D775,""en"",""ko"")
)"),"그는 IT 분야에 대한 풍부한 지식을 가지고 있습니다.")</f>
        <v>그는 IT 분야에 대한 풍부한 지식을 가지고 있습니다.</v>
      </c>
      <c r="F775" s="9" t="s">
        <v>1464</v>
      </c>
    </row>
    <row r="776" ht="20.25" customHeight="1">
      <c r="A776" s="5">
        <v>842.0</v>
      </c>
      <c r="B776" s="6">
        <v>251224.0</v>
      </c>
      <c r="C776" s="4"/>
      <c r="D776" s="7" t="s">
        <v>1465</v>
      </c>
      <c r="E776" s="8" t="str">
        <f>IFERROR(__xludf.DUMMYFUNCTION("IF(
  LEN(TRIM(D776))=0,
  ""왼쪽에 영어 문장을 입력하세요"",
  GOOGLETRANSLATE(D776,""en"",""ko"")
)"),"도시에 대한 풍부한 지식(정보, 아이디어)")</f>
        <v>도시에 대한 풍부한 지식(정보, 아이디어)</v>
      </c>
      <c r="F776" s="9" t="s">
        <v>1466</v>
      </c>
    </row>
    <row r="777" ht="20.25" customHeight="1">
      <c r="A777" s="5">
        <v>843.0</v>
      </c>
      <c r="B777" s="6">
        <v>251224.0</v>
      </c>
      <c r="C777" s="4"/>
      <c r="D777" s="7" t="s">
        <v>1467</v>
      </c>
      <c r="E777" s="8" t="str">
        <f>IFERROR(__xludf.DUMMYFUNCTION("IF(
  LEN(TRIM(D777))=0,
  ""왼쪽에 영어 문장을 입력하세요"",
  GOOGLETRANSLATE(D777,""en"",""ko"")
)"),"코피")</f>
        <v>코피</v>
      </c>
      <c r="F777" s="9" t="s">
        <v>1468</v>
      </c>
    </row>
    <row r="778" ht="20.25" customHeight="1">
      <c r="A778" s="5">
        <v>844.0</v>
      </c>
      <c r="B778" s="6">
        <v>251224.0</v>
      </c>
      <c r="C778" s="4"/>
      <c r="D778" s="7" t="s">
        <v>1469</v>
      </c>
      <c r="E778" s="8" t="str">
        <f>IFERROR(__xludf.DUMMYFUNCTION("IF(
  LEN(TRIM(D778))=0,
  ""왼쪽에 영어 문장을 입력하세요"",
  GOOGLETRANSLATE(D778,""en"",""ko"")
)"),"코피 섹션")</f>
        <v>코피 섹션</v>
      </c>
      <c r="F778" s="9" t="s">
        <v>1470</v>
      </c>
    </row>
    <row r="779" ht="20.25" customHeight="1">
      <c r="A779" s="5">
        <v>845.0</v>
      </c>
      <c r="B779" s="6">
        <v>251224.0</v>
      </c>
      <c r="C779" s="4"/>
      <c r="D779" s="7" t="s">
        <v>1471</v>
      </c>
      <c r="E779" s="8" t="str">
        <f>IFERROR(__xludf.DUMMYFUNCTION("IF(
  LEN(TRIM(D779))=0,
  ""왼쪽에 영어 문장을 입력하세요"",
  GOOGLETRANSLATE(D779,""en"",""ko"")
)"),"우리는 맨 꼭대기 층 티켓을 구했지만, 그래도 경기장에 들어왔다는 게 다행이에요!")</f>
        <v>우리는 맨 꼭대기 층 티켓을 구했지만, 그래도 경기장에 들어왔다는 게 다행이에요!</v>
      </c>
      <c r="F779" s="9" t="s">
        <v>1472</v>
      </c>
    </row>
    <row r="780" ht="20.25" customHeight="1">
      <c r="A780" s="5">
        <v>846.0</v>
      </c>
      <c r="B780" s="6">
        <v>251224.0</v>
      </c>
      <c r="C780" s="4"/>
      <c r="D780" s="7" t="s">
        <v>1473</v>
      </c>
      <c r="E780" s="8" t="str">
        <f>IFERROR(__xludf.DUMMYFUNCTION("IF(
  LEN(TRIM(D780))=0,
  ""왼쪽에 영어 문장을 입력하세요"",
  GOOGLETRANSLATE(D780,""en"",""ko"")
)"),"갑자기")</f>
        <v>갑자기</v>
      </c>
      <c r="F780" s="9" t="s">
        <v>1474</v>
      </c>
    </row>
    <row r="781" ht="20.25" customHeight="1">
      <c r="A781" s="5">
        <v>847.0</v>
      </c>
      <c r="B781" s="6">
        <v>251224.0</v>
      </c>
      <c r="C781" s="4"/>
      <c r="D781" s="7" t="s">
        <v>1475</v>
      </c>
      <c r="E781" s="8" t="str">
        <f>IFERROR(__xludf.DUMMYFUNCTION("IF(
  LEN(TRIM(D781))=0,
  ""왼쪽에 영어 문장을 입력하세요"",
  GOOGLETRANSLATE(D781,""en"",""ko"")
)"),"몇 년 동안 연락도 안 하다가 그녀가 갑자기 내게 전화를 걸어왔다.")</f>
        <v>몇 년 동안 연락도 안 하다가 그녀가 갑자기 내게 전화를 걸어왔다.</v>
      </c>
      <c r="F781" s="9" t="s">
        <v>1476</v>
      </c>
    </row>
    <row r="782" ht="20.25" customHeight="1">
      <c r="A782" s="5">
        <v>848.0</v>
      </c>
      <c r="B782" s="6">
        <v>251224.0</v>
      </c>
      <c r="C782" s="4"/>
      <c r="D782" s="7" t="s">
        <v>1477</v>
      </c>
      <c r="E782" s="8" t="str">
        <f>IFERROR(__xludf.DUMMYFUNCTION("IF(
  LEN(TRIM(D782))=0,
  ""왼쪽에 영어 문장을 입력하세요"",
  GOOGLETRANSLATE(D782,""en"",""ko"")
)"),"정보 비대칭성")</f>
        <v>정보 비대칭성</v>
      </c>
      <c r="F782" s="9" t="s">
        <v>1478</v>
      </c>
    </row>
    <row r="783" ht="20.25" customHeight="1">
      <c r="A783" s="5">
        <v>849.0</v>
      </c>
      <c r="B783" s="6">
        <v>251224.0</v>
      </c>
      <c r="C783" s="4"/>
      <c r="D783" s="7" t="s">
        <v>1479</v>
      </c>
      <c r="E783" s="8" t="str">
        <f>IFERROR(__xludf.DUMMYFUNCTION("IF(
  LEN(TRIM(D783))=0,
  ""왼쪽에 영어 문장을 입력하세요"",
  GOOGLETRANSLATE(D783,""en"",""ko"")
)"),"낙서")</f>
        <v>낙서</v>
      </c>
      <c r="F783" s="9" t="s">
        <v>1480</v>
      </c>
    </row>
    <row r="784" ht="20.25" customHeight="1">
      <c r="A784" s="5">
        <v>850.0</v>
      </c>
      <c r="B784" s="6">
        <v>251224.0</v>
      </c>
      <c r="C784" s="4"/>
      <c r="D784" s="7" t="s">
        <v>1481</v>
      </c>
      <c r="E784" s="8" t="str">
        <f>IFERROR(__xludf.DUMMYFUNCTION("IF(
  LEN(TRIM(D784))=0,
  ""왼쪽에 영어 문장을 입력하세요"",
  GOOGLETRANSLATE(D784,""en"",""ko"")
)"),"허점")</f>
        <v>허점</v>
      </c>
      <c r="F784" s="9" t="s">
        <v>1482</v>
      </c>
    </row>
    <row r="785" ht="20.25" customHeight="1">
      <c r="A785" s="5">
        <v>851.0</v>
      </c>
      <c r="B785" s="6">
        <v>251224.0</v>
      </c>
      <c r="C785" s="4"/>
      <c r="D785" s="7" t="s">
        <v>1483</v>
      </c>
      <c r="E785" s="8" t="str">
        <f>IFERROR(__xludf.DUMMYFUNCTION("IF(
  LEN(TRIM(D785))=0,
  ""왼쪽에 영어 문장을 입력하세요"",
  GOOGLETRANSLATE(D785,""en"",""ko"")
)"),"원형 교차로")</f>
        <v>원형 교차로</v>
      </c>
      <c r="F785" s="9" t="s">
        <v>1484</v>
      </c>
    </row>
    <row r="786" ht="20.25" customHeight="1">
      <c r="A786" s="5">
        <v>852.0</v>
      </c>
      <c r="B786" s="6">
        <v>251224.0</v>
      </c>
      <c r="C786" s="4"/>
      <c r="D786" s="7" t="s">
        <v>1485</v>
      </c>
      <c r="E786" s="8" t="str">
        <f>IFERROR(__xludf.DUMMYFUNCTION("IF(
  LEN(TRIM(D786))=0,
  ""왼쪽에 영어 문장을 입력하세요"",
  GOOGLETRANSLATE(D786,""en"",""ko"")
)"),"가져가실 수 있습니다")</f>
        <v>가져가실 수 있습니다</v>
      </c>
      <c r="F786" s="9" t="s">
        <v>1486</v>
      </c>
    </row>
    <row r="787" ht="20.25" customHeight="1">
      <c r="A787" s="5">
        <v>853.0</v>
      </c>
      <c r="B787" s="6">
        <v>251224.0</v>
      </c>
      <c r="C787" s="4"/>
      <c r="D787" s="7" t="s">
        <v>1487</v>
      </c>
      <c r="E787" s="8" t="str">
        <f>IFERROR(__xludf.DUMMYFUNCTION("IF(
  LEN(TRIM(D787))=0,
  ""왼쪽에 영어 문장을 입력하세요"",
  GOOGLETRANSLATE(D787,""en"",""ko"")
)"),"여기 누구나 가져갈 수 있습니다.")</f>
        <v>여기 누구나 가져갈 수 있습니다.</v>
      </c>
      <c r="F787" s="9" t="s">
        <v>1488</v>
      </c>
    </row>
    <row r="788" ht="20.25" customHeight="1">
      <c r="A788" s="5">
        <v>854.0</v>
      </c>
      <c r="B788" s="6">
        <v>251224.0</v>
      </c>
      <c r="C788" s="4"/>
      <c r="D788" s="7" t="s">
        <v>1489</v>
      </c>
      <c r="E788" s="8" t="str">
        <f>IFERROR(__xludf.DUMMYFUNCTION("IF(
  LEN(TRIM(D788))=0,
  ""왼쪽에 영어 문장을 입력하세요"",
  GOOGLETRANSLATE(D788,""en"",""ko"")
)"),"당신이 가져가셔도 됩니다.")</f>
        <v>당신이 가져가셔도 됩니다.</v>
      </c>
      <c r="F788" s="9" t="s">
        <v>1490</v>
      </c>
    </row>
    <row r="789" ht="20.25" customHeight="1">
      <c r="A789" s="5">
        <v>855.0</v>
      </c>
      <c r="B789" s="6">
        <v>251224.0</v>
      </c>
      <c r="C789" s="4"/>
      <c r="D789" s="7" t="s">
        <v>1491</v>
      </c>
      <c r="E789" s="8" t="str">
        <f>IFERROR(__xludf.DUMMYFUNCTION("IF(
  LEN(TRIM(D789))=0,
  ""왼쪽에 영어 문장을 입력하세요"",
  GOOGLETRANSLATE(D789,""en"",""ko"")
)"),"나는 당신이 마음대로 가져가도 좋습니다.")</f>
        <v>나는 당신이 마음대로 가져가도 좋습니다.</v>
      </c>
      <c r="F789" s="9" t="s">
        <v>1492</v>
      </c>
    </row>
    <row r="790" ht="20.25" customHeight="1">
      <c r="A790" s="5">
        <v>856.0</v>
      </c>
      <c r="B790" s="6">
        <v>251224.0</v>
      </c>
      <c r="C790" s="4"/>
      <c r="D790" s="7" t="s">
        <v>1493</v>
      </c>
      <c r="E790" s="8" t="str">
        <f>IFERROR(__xludf.DUMMYFUNCTION("IF(
  LEN(TRIM(D790))=0,
  ""왼쪽에 영어 문장을 입력하세요"",
  GOOGLETRANSLATE(D790,""en"",""ko"")
)"),"성공(미래)은 바로 눈앞에 있습니다.")</f>
        <v>성공(미래)은 바로 눈앞에 있습니다.</v>
      </c>
      <c r="F790" s="9" t="s">
        <v>1494</v>
      </c>
    </row>
    <row r="791" ht="20.25" customHeight="1">
      <c r="A791" s="5">
        <v>857.0</v>
      </c>
      <c r="B791" s="6">
        <v>251224.0</v>
      </c>
      <c r="C791" s="4"/>
      <c r="D791" s="7" t="s">
        <v>1495</v>
      </c>
      <c r="E791" s="8" t="str">
        <f>IFERROR(__xludf.DUMMYFUNCTION("IF(
  LEN(TRIM(D791))=0,
  ""왼쪽에 영어 문장을 입력하세요"",
  GOOGLETRANSLATE(D791,""en"",""ko"")
)"),"바퀴벌레 배설물")</f>
        <v>바퀴벌레 배설물</v>
      </c>
      <c r="F791" s="9" t="s">
        <v>1496</v>
      </c>
    </row>
    <row r="792" ht="20.25" customHeight="1">
      <c r="A792" s="5">
        <v>858.0</v>
      </c>
      <c r="B792" s="6">
        <v>251224.0</v>
      </c>
      <c r="C792" s="4"/>
      <c r="D792" s="7" t="s">
        <v>1497</v>
      </c>
      <c r="E792" s="8" t="str">
        <f>IFERROR(__xludf.DUMMYFUNCTION("IF(
  LEN(TRIM(D792))=0,
  ""왼쪽에 영어 문장을 입력하세요"",
  GOOGLETRANSLATE(D792,""en"",""ko"")
)"),"발진")</f>
        <v>발진</v>
      </c>
      <c r="F792" s="9" t="s">
        <v>1498</v>
      </c>
    </row>
    <row r="793" ht="20.25" customHeight="1">
      <c r="A793" s="5">
        <v>859.0</v>
      </c>
      <c r="B793" s="6">
        <v>251224.0</v>
      </c>
      <c r="C793" s="4"/>
      <c r="D793" s="7" t="s">
        <v>1499</v>
      </c>
      <c r="E793" s="8" t="str">
        <f>IFERROR(__xludf.DUMMYFUNCTION("IF(
  LEN(TRIM(D793))=0,
  ""왼쪽에 영어 문장을 입력하세요"",
  GOOGLETRANSLATE(D793,""en"",""ko"")
)"),"폐렴")</f>
        <v>폐렴</v>
      </c>
      <c r="F793" s="9" t="s">
        <v>1500</v>
      </c>
    </row>
    <row r="794" ht="20.25" customHeight="1">
      <c r="A794" s="5">
        <v>860.0</v>
      </c>
      <c r="B794" s="6">
        <v>251224.0</v>
      </c>
      <c r="C794" s="4"/>
      <c r="D794" s="7" t="s">
        <v>1501</v>
      </c>
      <c r="E794" s="8" t="str">
        <f>IFERROR(__xludf.DUMMYFUNCTION("IF(
  LEN(TRIM(D794))=0,
  ""왼쪽에 영어 문장을 입력하세요"",
  GOOGLETRANSLATE(D794,""en"",""ko"")
)"),"전세")</f>
        <v>전세</v>
      </c>
      <c r="F794" s="9" t="s">
        <v>1502</v>
      </c>
    </row>
    <row r="795" ht="20.25" customHeight="1">
      <c r="A795" s="5">
        <v>861.0</v>
      </c>
      <c r="B795" s="6">
        <v>251224.0</v>
      </c>
      <c r="C795" s="4"/>
      <c r="D795" s="7" t="s">
        <v>1503</v>
      </c>
      <c r="E795" s="8" t="str">
        <f>IFERROR(__xludf.DUMMYFUNCTION("IF(
  LEN(TRIM(D795))=0,
  ""왼쪽에 영어 문장을 입력하세요"",
  GOOGLETRANSLATE(D795,""en"",""ko"")
)"),"전세버스")</f>
        <v>전세버스</v>
      </c>
      <c r="F795" s="9" t="s">
        <v>1504</v>
      </c>
    </row>
    <row r="796" ht="20.25" customHeight="1">
      <c r="A796" s="5">
        <v>862.0</v>
      </c>
      <c r="B796" s="6">
        <v>251224.0</v>
      </c>
      <c r="C796" s="4"/>
      <c r="D796" s="7" t="s">
        <v>1505</v>
      </c>
      <c r="E796" s="8" t="str">
        <f>IFERROR(__xludf.DUMMYFUNCTION("IF(
  LEN(TRIM(D796))=0,
  ""왼쪽에 영어 문장을 입력하세요"",
  GOOGLETRANSLATE(D796,""en"",""ko"")
)"),"근속수당")</f>
        <v>근속수당</v>
      </c>
      <c r="F796" s="9" t="s">
        <v>1506</v>
      </c>
    </row>
    <row r="797" ht="20.25" customHeight="1">
      <c r="A797" s="5">
        <v>863.0</v>
      </c>
      <c r="B797" s="6">
        <v>251224.0</v>
      </c>
      <c r="C797" s="4"/>
      <c r="D797" s="7" t="s">
        <v>1507</v>
      </c>
      <c r="E797" s="8" t="str">
        <f>IFERROR(__xludf.DUMMYFUNCTION("IF(
  LEN(TRIM(D797))=0,
  ""왼쪽에 영어 문장을 입력하세요"",
  GOOGLETRANSLATE(D797,""en"",""ko"")
)"),"분비하다")</f>
        <v>분비하다</v>
      </c>
      <c r="F797" s="9" t="s">
        <v>1508</v>
      </c>
    </row>
    <row r="798" ht="20.25" customHeight="1">
      <c r="A798" s="5">
        <v>864.0</v>
      </c>
      <c r="B798" s="6">
        <v>251224.0</v>
      </c>
      <c r="C798" s="4"/>
      <c r="D798" s="7" t="s">
        <v>1509</v>
      </c>
      <c r="E798" s="8" t="str">
        <f>IFERROR(__xludf.DUMMYFUNCTION("IF(
  LEN(TRIM(D798))=0,
  ""왼쪽에 영어 문장을 입력하세요"",
  GOOGLETRANSLATE(D798,""en"",""ko"")
)"),"저는 SF 영화를 즐겨 봅니다.")</f>
        <v>저는 SF 영화를 즐겨 봅니다.</v>
      </c>
      <c r="F798" s="9" t="s">
        <v>1510</v>
      </c>
    </row>
    <row r="799" ht="20.25" customHeight="1">
      <c r="A799" s="5">
        <v>865.0</v>
      </c>
      <c r="B799" s="6">
        <v>251224.0</v>
      </c>
      <c r="C799" s="4"/>
      <c r="D799" s="7" t="s">
        <v>1511</v>
      </c>
      <c r="E799" s="8" t="str">
        <f>IFERROR(__xludf.DUMMYFUNCTION("IF(
  LEN(TRIM(D799))=0,
  ""왼쪽에 영어 문장을 입력하세요"",
  GOOGLETRANSLATE(D799,""en"",""ko"")
)"),"저는 짭짤한 음식을 선호합니다.")</f>
        <v>저는 짭짤한 음식을 선호합니다.</v>
      </c>
      <c r="F799" s="9" t="s">
        <v>1512</v>
      </c>
    </row>
    <row r="800" ht="20.25" customHeight="1">
      <c r="A800" s="5">
        <v>866.0</v>
      </c>
      <c r="B800" s="6">
        <v>251224.0</v>
      </c>
      <c r="C800" s="4"/>
      <c r="D800" s="7" t="s">
        <v>1513</v>
      </c>
      <c r="E800" s="8" t="str">
        <f>IFERROR(__xludf.DUMMYFUNCTION("IF(
  LEN(TRIM(D800))=0,
  ""왼쪽에 영어 문장을 입력하세요"",
  GOOGLETRANSLATE(D800,""en"",""ko"")
)"),"저는 단 디저트보다는 매운 음식을 더 좋아합니다.")</f>
        <v>저는 단 디저트보다는 매운 음식을 더 좋아합니다.</v>
      </c>
      <c r="F800" s="9" t="s">
        <v>1514</v>
      </c>
    </row>
    <row r="801" ht="20.25" customHeight="1">
      <c r="A801" s="5">
        <v>867.0</v>
      </c>
      <c r="B801" s="6">
        <v>251224.0</v>
      </c>
      <c r="C801" s="4"/>
      <c r="D801" s="7" t="s">
        <v>1515</v>
      </c>
      <c r="E801" s="8" t="str">
        <f>IFERROR(__xludf.DUMMYFUNCTION("IF(
  LEN(TRIM(D801))=0,
  ""왼쪽에 영어 문장을 입력하세요"",
  GOOGLETRANSLATE(D801,""en"",""ko"")
)"),"목표를 세우시나요? 네, 하지만 목표를 꼭 지키지는 않아요. 그래도 목표를 세우고 나서는 그냥 무시하는 걸 좋아해요.
그게 절반은 이긴 거라고 하잖아요.")</f>
        <v>목표를 세우시나요? 네, 하지만 목표를 꼭 지키지는 않아요. 그래도 목표를 세우고 나서는 그냥 무시하는 걸 좋아해요.
그게 절반은 이긴 거라고 하잖아요.</v>
      </c>
      <c r="F801" s="9" t="s">
        <v>1516</v>
      </c>
    </row>
    <row r="802" ht="20.25" customHeight="1">
      <c r="A802" s="5">
        <v>868.0</v>
      </c>
      <c r="B802" s="6">
        <v>251224.0</v>
      </c>
      <c r="C802" s="4"/>
      <c r="D802" s="7" t="s">
        <v>1517</v>
      </c>
      <c r="E802" s="8" t="str">
        <f>IFERROR(__xludf.DUMMYFUNCTION("IF(
  LEN(TRIM(D802))=0,
  ""왼쪽에 영어 문장을 입력하세요"",
  GOOGLETRANSLATE(D802,""en"",""ko"")
)"),"풍자시")</f>
        <v>풍자시</v>
      </c>
      <c r="F802" s="9" t="s">
        <v>1518</v>
      </c>
    </row>
    <row r="803" ht="20.25" customHeight="1">
      <c r="A803" s="5">
        <v>869.0</v>
      </c>
      <c r="B803" s="6">
        <v>251224.0</v>
      </c>
      <c r="C803" s="4"/>
      <c r="D803" s="7" t="s">
        <v>1519</v>
      </c>
      <c r="E803" s="8" t="str">
        <f>IFERROR(__xludf.DUMMYFUNCTION("IF(
  LEN(TRIM(D803))=0,
  ""왼쪽에 영어 문장을 입력하세요"",
  GOOGLETRANSLATE(D803,""en"",""ko"")
)"),"파괴적인")</f>
        <v>파괴적인</v>
      </c>
      <c r="F803" s="9" t="s">
        <v>1520</v>
      </c>
    </row>
    <row r="804" ht="20.25" customHeight="1">
      <c r="A804" s="5">
        <v>870.0</v>
      </c>
      <c r="B804" s="6">
        <v>251224.0</v>
      </c>
      <c r="C804" s="4"/>
      <c r="D804" s="7" t="s">
        <v>1521</v>
      </c>
      <c r="E804" s="8" t="str">
        <f>IFERROR(__xludf.DUMMYFUNCTION("IF(
  LEN(TRIM(D804))=0,
  ""왼쪽에 영어 문장을 입력하세요"",
  GOOGLETRANSLATE(D804,""en"",""ko"")
)"),"값")</f>
        <v>값</v>
      </c>
      <c r="F804" s="9" t="s">
        <v>1522</v>
      </c>
    </row>
    <row r="805" ht="20.25" customHeight="1">
      <c r="A805" s="5">
        <v>871.0</v>
      </c>
      <c r="B805" s="6">
        <v>251224.0</v>
      </c>
      <c r="C805" s="4"/>
      <c r="D805" s="7" t="s">
        <v>1523</v>
      </c>
      <c r="E805" s="8" t="str">
        <f>IFERROR(__xludf.DUMMYFUNCTION("IF(
  LEN(TRIM(D805))=0,
  ""왼쪽에 영어 문장을 입력하세요"",
  GOOGLETRANSLATE(D805,""en"",""ko"")
)"),"숨어 있는")</f>
        <v>숨어 있는</v>
      </c>
      <c r="F805" s="9" t="s">
        <v>1524</v>
      </c>
    </row>
    <row r="806" ht="20.25" customHeight="1">
      <c r="A806" s="5">
        <v>872.0</v>
      </c>
      <c r="B806" s="6">
        <v>251224.0</v>
      </c>
      <c r="C806" s="4"/>
      <c r="D806" s="7" t="s">
        <v>1525</v>
      </c>
      <c r="E806" s="8" t="str">
        <f>IFERROR(__xludf.DUMMYFUNCTION("IF(
  LEN(TRIM(D806))=0,
  ""왼쪽에 영어 문장을 입력하세요"",
  GOOGLETRANSLATE(D806,""en"",""ko"")
)"),"빈혈")</f>
        <v>빈혈</v>
      </c>
      <c r="F806" s="9" t="s">
        <v>1526</v>
      </c>
    </row>
    <row r="807" ht="20.25" customHeight="1">
      <c r="A807" s="5">
        <v>873.0</v>
      </c>
      <c r="B807" s="6">
        <v>251224.0</v>
      </c>
      <c r="C807" s="4"/>
      <c r="D807" s="7" t="s">
        <v>1527</v>
      </c>
      <c r="E807" s="8" t="str">
        <f>IFERROR(__xludf.DUMMYFUNCTION("IF(
  LEN(TRIM(D807))=0,
  ""왼쪽에 영어 문장을 입력하세요"",
  GOOGLETRANSLATE(D807,""en"",""ko"")
)"),"투기적 수요")</f>
        <v>투기적 수요</v>
      </c>
      <c r="F807" s="9" t="s">
        <v>1528</v>
      </c>
    </row>
    <row r="808" ht="20.25" customHeight="1">
      <c r="A808" s="5">
        <v>874.0</v>
      </c>
      <c r="B808" s="6">
        <v>251224.0</v>
      </c>
      <c r="C808" s="4"/>
      <c r="D808" s="7" t="s">
        <v>1529</v>
      </c>
      <c r="E808" s="8" t="str">
        <f>IFERROR(__xludf.DUMMYFUNCTION("IF(
  LEN(TRIM(D808))=0,
  ""왼쪽에 영어 문장을 입력하세요"",
  GOOGLETRANSLATE(D808,""en"",""ko"")
)"),"추측하다")</f>
        <v>추측하다</v>
      </c>
      <c r="F808" s="9" t="s">
        <v>1530</v>
      </c>
    </row>
    <row r="809" ht="20.25" customHeight="1">
      <c r="A809" s="5">
        <v>875.0</v>
      </c>
      <c r="B809" s="6">
        <v>251224.0</v>
      </c>
      <c r="C809" s="4"/>
      <c r="D809" s="7" t="s">
        <v>1531</v>
      </c>
      <c r="E809" s="8" t="str">
        <f>IFERROR(__xludf.DUMMYFUNCTION("IF(
  LEN(TRIM(D809))=0,
  ""왼쪽에 영어 문장을 입력하세요"",
  GOOGLETRANSLATE(D809,""en"",""ko"")
)"),"소외된 계층")</f>
        <v>소외된 계층</v>
      </c>
      <c r="F809" s="9" t="s">
        <v>1532</v>
      </c>
    </row>
    <row r="810" ht="20.25" customHeight="1">
      <c r="A810" s="5">
        <v>876.0</v>
      </c>
      <c r="B810" s="6">
        <v>251224.0</v>
      </c>
      <c r="C810" s="4"/>
      <c r="D810" s="7" t="s">
        <v>1533</v>
      </c>
      <c r="E810" s="8" t="str">
        <f>IFERROR(__xludf.DUMMYFUNCTION("IF(
  LEN(TRIM(D810))=0,
  ""왼쪽에 영어 문장을 입력하세요"",
  GOOGLETRANSLATE(D810,""en"",""ko"")
)"),"수박을 고를 때는 옆면을 두드려 속이 빈 소리가 나는지 확인하세요.")</f>
        <v>수박을 고를 때는 옆면을 두드려 속이 빈 소리가 나는지 확인하세요.</v>
      </c>
      <c r="F810" s="9" t="s">
        <v>1534</v>
      </c>
    </row>
    <row r="811" ht="20.25" customHeight="1">
      <c r="A811" s="5">
        <v>877.0</v>
      </c>
      <c r="B811" s="6">
        <v>251224.0</v>
      </c>
      <c r="C811" s="4"/>
      <c r="D811" s="7" t="s">
        <v>1535</v>
      </c>
      <c r="E811" s="8" t="str">
        <f>IFERROR(__xludf.DUMMYFUNCTION("IF(
  LEN(TRIM(D811))=0,
  ""왼쪽에 영어 문장을 입력하세요"",
  GOOGLETRANSLATE(D811,""en"",""ko"")
)"),"부르겐")</f>
        <v>부르겐</v>
      </c>
      <c r="F811" s="9" t="s">
        <v>1536</v>
      </c>
    </row>
    <row r="812" ht="20.25" customHeight="1">
      <c r="A812" s="5">
        <v>878.0</v>
      </c>
      <c r="B812" s="6">
        <v>251224.0</v>
      </c>
      <c r="C812" s="4"/>
      <c r="D812" s="7" t="s">
        <v>1537</v>
      </c>
      <c r="E812" s="8" t="str">
        <f>IFERROR(__xludf.DUMMYFUNCTION("IF(
  LEN(TRIM(D812))=0,
  ""왼쪽에 영어 문장을 입력하세요"",
  GOOGLETRANSLATE(D812,""en"",""ko"")
)"),"궁지에 몰아넣고 쌓아두는 행위")</f>
        <v>궁지에 몰아넣고 쌓아두는 행위</v>
      </c>
      <c r="F812" s="9" t="s">
        <v>1538</v>
      </c>
    </row>
    <row r="813" ht="20.25" customHeight="1">
      <c r="A813" s="5">
        <v>879.0</v>
      </c>
      <c r="B813" s="6">
        <v>251224.0</v>
      </c>
      <c r="C813" s="4"/>
      <c r="D813" s="7" t="s">
        <v>1539</v>
      </c>
      <c r="E813" s="8" t="str">
        <f>IFERROR(__xludf.DUMMYFUNCTION("IF(
  LEN(TRIM(D813))=0,
  ""왼쪽에 영어 문장을 입력하세요"",
  GOOGLETRANSLATE(D813,""en"",""ko"")
)"),"...을 찾다")</f>
        <v>...을 찾다</v>
      </c>
      <c r="F813" s="9" t="s">
        <v>1540</v>
      </c>
    </row>
    <row r="814" ht="20.25" customHeight="1">
      <c r="A814" s="5">
        <v>880.0</v>
      </c>
      <c r="B814" s="6">
        <v>251224.0</v>
      </c>
      <c r="C814" s="4"/>
      <c r="D814" s="7" t="s">
        <v>1541</v>
      </c>
      <c r="E814" s="8" t="str">
        <f>IFERROR(__xludf.DUMMYFUNCTION("IF(
  LEN(TRIM(D814))=0,
  ""왼쪽에 영어 문장을 입력하세요"",
  GOOGLETRANSLATE(D814,""en"",""ko"")
)"),"시들다")</f>
        <v>시들다</v>
      </c>
      <c r="F814" s="9" t="s">
        <v>1542</v>
      </c>
    </row>
    <row r="815" ht="20.25" customHeight="1">
      <c r="A815" s="5">
        <v>881.0</v>
      </c>
      <c r="B815" s="6">
        <v>251224.0</v>
      </c>
      <c r="C815" s="4"/>
      <c r="D815" s="7" t="s">
        <v>1543</v>
      </c>
      <c r="E815" s="8" t="str">
        <f>IFERROR(__xludf.DUMMYFUNCTION("IF(
  LEN(TRIM(D815))=0,
  ""왼쪽에 영어 문장을 입력하세요"",
  GOOGLETRANSLATE(D815,""en"",""ko"")
)"),"무능한")</f>
        <v>무능한</v>
      </c>
      <c r="F815" s="9" t="s">
        <v>1544</v>
      </c>
    </row>
    <row r="816" ht="20.25" customHeight="1">
      <c r="A816" s="5">
        <v>882.0</v>
      </c>
      <c r="B816" s="6">
        <v>251224.0</v>
      </c>
      <c r="C816" s="4"/>
      <c r="D816" s="7" t="s">
        <v>1545</v>
      </c>
      <c r="E816" s="8" t="str">
        <f>IFERROR(__xludf.DUMMYFUNCTION("IF(
  LEN(TRIM(D816))=0,
  ""왼쪽에 영어 문장을 입력하세요"",
  GOOGLETRANSLATE(D816,""en"",""ko"")
)"),"계획적인")</f>
        <v>계획적인</v>
      </c>
      <c r="F816" s="9" t="s">
        <v>1546</v>
      </c>
    </row>
    <row r="817" ht="20.25" customHeight="1">
      <c r="A817" s="5">
        <v>883.0</v>
      </c>
      <c r="B817" s="6">
        <v>251224.0</v>
      </c>
      <c r="C817" s="4"/>
      <c r="D817" s="7" t="s">
        <v>1547</v>
      </c>
      <c r="E817" s="8" t="str">
        <f>IFERROR(__xludf.DUMMYFUNCTION("IF(
  LEN(TRIM(D817))=0,
  ""왼쪽에 영어 문장을 입력하세요"",
  GOOGLETRANSLATE(D817,""en"",""ko"")
)"),"나는 승진하지 못한 것에 대한 실망감을 억누르고 집으로 돌아갔다.")</f>
        <v>나는 승진하지 못한 것에 대한 실망감을 억누르고 집으로 돌아갔다.</v>
      </c>
      <c r="F817" s="9" t="s">
        <v>1548</v>
      </c>
    </row>
    <row r="818" ht="20.25" customHeight="1">
      <c r="A818" s="5">
        <v>884.0</v>
      </c>
      <c r="B818" s="6">
        <v>251224.0</v>
      </c>
      <c r="C818" s="4"/>
      <c r="D818" s="7" t="s">
        <v>1549</v>
      </c>
      <c r="E818" s="8" t="str">
        <f>IFERROR(__xludf.DUMMYFUNCTION("IF(
  LEN(TRIM(D818))=0,
  ""왼쪽에 영어 문장을 입력하세요"",
  GOOGLETRANSLATE(D818,""en"",""ko"")
)"),"꾹꾹 눌러")</f>
        <v>꾹꾹 눌러</v>
      </c>
      <c r="F818" s="9" t="s">
        <v>1550</v>
      </c>
    </row>
    <row r="819" ht="20.25" customHeight="1">
      <c r="A819" s="5">
        <v>885.0</v>
      </c>
      <c r="B819" s="6">
        <v>251224.0</v>
      </c>
      <c r="C819" s="4"/>
      <c r="D819" s="7" t="s">
        <v>1551</v>
      </c>
      <c r="E819" s="8" t="str">
        <f>IFERROR(__xludf.DUMMYFUNCTION("IF(
  LEN(TRIM(D819))=0,
  ""왼쪽에 영어 문장을 입력하세요"",
  GOOGLETRANSLATE(D819,""en"",""ko"")
)"),"벅찬")</f>
        <v>벅찬</v>
      </c>
      <c r="F819" s="9" t="s">
        <v>1552</v>
      </c>
    </row>
    <row r="820" ht="20.25" customHeight="1">
      <c r="A820" s="5">
        <v>886.0</v>
      </c>
      <c r="B820" s="6">
        <v>251224.0</v>
      </c>
      <c r="C820" s="4"/>
      <c r="D820" s="7" t="s">
        <v>1553</v>
      </c>
      <c r="E820" s="8" t="str">
        <f>IFERROR(__xludf.DUMMYFUNCTION("IF(
  LEN(TRIM(D820))=0,
  ""왼쪽에 영어 문장을 입력하세요"",
  GOOGLETRANSLATE(D820,""en"",""ko"")
)"),"위협하다")</f>
        <v>위협하다</v>
      </c>
      <c r="F820" s="9" t="s">
        <v>1554</v>
      </c>
    </row>
    <row r="821" ht="20.25" customHeight="1">
      <c r="A821" s="5">
        <v>887.0</v>
      </c>
      <c r="B821" s="6">
        <v>251224.0</v>
      </c>
      <c r="C821" s="4"/>
      <c r="D821" s="7" t="s">
        <v>1555</v>
      </c>
      <c r="E821" s="8" t="str">
        <f>IFERROR(__xludf.DUMMYFUNCTION("IF(
  LEN(TRIM(D821))=0,
  ""왼쪽에 영어 문장을 입력하세요"",
  GOOGLETRANSLATE(D821,""en"",""ko"")
)"),"제안자")</f>
        <v>제안자</v>
      </c>
      <c r="F821" s="9" t="s">
        <v>1556</v>
      </c>
    </row>
    <row r="822" ht="20.25" customHeight="1">
      <c r="A822" s="5">
        <v>888.0</v>
      </c>
      <c r="B822" s="6">
        <v>251224.0</v>
      </c>
      <c r="C822" s="4"/>
      <c r="D822" s="7" t="s">
        <v>1557</v>
      </c>
      <c r="E822" s="8" t="str">
        <f>IFERROR(__xludf.DUMMYFUNCTION("IF(
  LEN(TRIM(D822))=0,
  ""왼쪽에 영어 문장을 입력하세요"",
  GOOGLETRANSLATE(D822,""en"",""ko"")
)"),"투표율")</f>
        <v>투표율</v>
      </c>
      <c r="F822" s="9" t="s">
        <v>1558</v>
      </c>
    </row>
    <row r="823" ht="20.25" customHeight="1">
      <c r="A823" s="5">
        <v>889.0</v>
      </c>
      <c r="B823" s="6">
        <v>251224.0</v>
      </c>
      <c r="C823" s="4"/>
      <c r="D823" s="7" t="s">
        <v>1559</v>
      </c>
      <c r="E823" s="8" t="str">
        <f>IFERROR(__xludf.DUMMYFUNCTION("IF(
  LEN(TRIM(D823))=0,
  ""왼쪽에 영어 문장을 입력하세요"",
  GOOGLETRANSLATE(D823,""en"",""ko"")
)"),"기권하다")</f>
        <v>기권하다</v>
      </c>
      <c r="F823" s="9" t="s">
        <v>1560</v>
      </c>
    </row>
    <row r="824" ht="20.25" customHeight="1">
      <c r="A824" s="5">
        <v>890.0</v>
      </c>
      <c r="B824" s="6">
        <v>251224.0</v>
      </c>
      <c r="C824" s="4"/>
      <c r="D824" s="7" t="s">
        <v>1561</v>
      </c>
      <c r="E824" s="8" t="str">
        <f>IFERROR(__xludf.DUMMYFUNCTION("IF(
  LEN(TRIM(D824))=0,
  ""왼쪽에 영어 문장을 입력하세요"",
  GOOGLETRANSLATE(D824,""en"",""ko"")
)"),"기권")</f>
        <v>기권</v>
      </c>
      <c r="F824" s="9" t="s">
        <v>1562</v>
      </c>
    </row>
    <row r="825" ht="20.25" customHeight="1">
      <c r="A825" s="5">
        <v>891.0</v>
      </c>
      <c r="B825" s="6">
        <v>251224.0</v>
      </c>
      <c r="C825" s="4"/>
      <c r="D825" s="7" t="s">
        <v>1563</v>
      </c>
      <c r="E825" s="8" t="str">
        <f>IFERROR(__xludf.DUMMYFUNCTION("IF(
  LEN(TRIM(D825))=0,
  ""왼쪽에 영어 문장을 입력하세요"",
  GOOGLETRANSLATE(D825,""en"",""ko"")
)"),"야행성")</f>
        <v>야행성</v>
      </c>
      <c r="F825" s="9" t="s">
        <v>1564</v>
      </c>
    </row>
    <row r="826" ht="20.25" customHeight="1">
      <c r="A826" s="5">
        <v>892.0</v>
      </c>
      <c r="B826" s="6">
        <v>251224.0</v>
      </c>
      <c r="C826" s="4"/>
      <c r="D826" s="7" t="s">
        <v>1565</v>
      </c>
      <c r="E826" s="8" t="str">
        <f>IFERROR(__xludf.DUMMYFUNCTION("IF(
  LEN(TRIM(D826))=0,
  ""왼쪽에 영어 문장을 입력하세요"",
  GOOGLETRANSLATE(D826,""en"",""ko"")
)"),"정확한")</f>
        <v>정확한</v>
      </c>
      <c r="F826" s="9" t="s">
        <v>1566</v>
      </c>
    </row>
    <row r="827" ht="20.25" customHeight="1">
      <c r="A827" s="5">
        <v>893.0</v>
      </c>
      <c r="B827" s="6">
        <v>251224.0</v>
      </c>
      <c r="C827" s="4"/>
      <c r="D827" s="7" t="s">
        <v>1567</v>
      </c>
      <c r="E827" s="8" t="str">
        <f>IFERROR(__xludf.DUMMYFUNCTION("IF(
  LEN(TRIM(D827))=0,
  ""왼쪽에 영어 문장을 입력하세요"",
  GOOGLETRANSLATE(D827,""en"",""ko"")
)"),"저축 계좌에는 이자가 발생합니다.")</f>
        <v>저축 계좌에는 이자가 발생합니다.</v>
      </c>
      <c r="F827" s="9" t="s">
        <v>1568</v>
      </c>
    </row>
    <row r="828" ht="20.25" customHeight="1">
      <c r="A828" s="5">
        <v>894.0</v>
      </c>
      <c r="B828" s="6">
        <v>251224.0</v>
      </c>
      <c r="C828" s="4"/>
      <c r="D828" s="7" t="s">
        <v>1569</v>
      </c>
      <c r="E828" s="8" t="str">
        <f>IFERROR(__xludf.DUMMYFUNCTION("IF(
  LEN(TRIM(D828))=0,
  ""왼쪽에 영어 문장을 입력하세요"",
  GOOGLETRANSLATE(D828,""en"",""ko"")
)"),"택시를 잡다")</f>
        <v>택시를 잡다</v>
      </c>
      <c r="F828" s="9" t="s">
        <v>642</v>
      </c>
    </row>
    <row r="829" ht="20.25" customHeight="1">
      <c r="A829" s="5">
        <v>895.0</v>
      </c>
      <c r="B829" s="6">
        <v>251224.0</v>
      </c>
      <c r="C829" s="4"/>
      <c r="D829" s="7" t="s">
        <v>1570</v>
      </c>
      <c r="E829" s="8" t="str">
        <f>IFERROR(__xludf.DUMMYFUNCTION("IF(
  LEN(TRIM(D829))=0,
  ""왼쪽에 영어 문장을 입력하세요"",
  GOOGLETRANSLATE(D829,""en"",""ko"")
)"),"풀을 뜯어 먹다")</f>
        <v>풀을 뜯어 먹다</v>
      </c>
      <c r="F829" s="9" t="s">
        <v>1571</v>
      </c>
    </row>
    <row r="830" ht="20.25" customHeight="1">
      <c r="A830" s="5">
        <v>896.0</v>
      </c>
      <c r="B830" s="6">
        <v>251224.0</v>
      </c>
      <c r="C830" s="4"/>
      <c r="D830" s="7" t="s">
        <v>1369</v>
      </c>
      <c r="E830" s="8" t="str">
        <f>IFERROR(__xludf.DUMMYFUNCTION("IF(
  LEN(TRIM(D830))=0,
  ""왼쪽에 영어 문장을 입력하세요"",
  GOOGLETRANSLATE(D830,""en"",""ko"")
)"),"회개하라")</f>
        <v>회개하라</v>
      </c>
      <c r="F830" s="9" t="s">
        <v>1572</v>
      </c>
    </row>
    <row r="831" ht="20.25" customHeight="1">
      <c r="A831" s="5">
        <v>897.0</v>
      </c>
      <c r="B831" s="6">
        <v>251224.0</v>
      </c>
      <c r="C831" s="4"/>
      <c r="D831" s="7" t="s">
        <v>1573</v>
      </c>
      <c r="E831" s="8" t="str">
        <f>IFERROR(__xludf.DUMMYFUNCTION("IF(
  LEN(TRIM(D831))=0,
  ""왼쪽에 영어 문장을 입력하세요"",
  GOOGLETRANSLATE(D831,""en"",""ko"")
)"),"고리 대금")</f>
        <v>고리 대금</v>
      </c>
      <c r="F831" s="9" t="s">
        <v>1574</v>
      </c>
    </row>
    <row r="832" ht="20.25" customHeight="1">
      <c r="A832" s="5">
        <v>898.0</v>
      </c>
      <c r="B832" s="6">
        <v>251224.0</v>
      </c>
      <c r="C832" s="4"/>
      <c r="D832" s="7" t="s">
        <v>1575</v>
      </c>
      <c r="E832" s="8" t="str">
        <f>IFERROR(__xludf.DUMMYFUNCTION("IF(
  LEN(TRIM(D832))=0,
  ""왼쪽에 영어 문장을 입력하세요"",
  GOOGLETRANSLATE(D832,""en"",""ko"")
)"),"송금하다")</f>
        <v>송금하다</v>
      </c>
      <c r="F832" s="9" t="s">
        <v>1576</v>
      </c>
    </row>
    <row r="833" ht="20.25" customHeight="1">
      <c r="A833" s="5">
        <v>899.0</v>
      </c>
      <c r="B833" s="6">
        <v>251224.0</v>
      </c>
      <c r="C833" s="4"/>
      <c r="D833" s="7" t="s">
        <v>1577</v>
      </c>
      <c r="E833" s="8" t="str">
        <f>IFERROR(__xludf.DUMMYFUNCTION("IF(
  LEN(TRIM(D833))=0,
  ""왼쪽에 영어 문장을 입력하세요"",
  GOOGLETRANSLATE(D833,""en"",""ko"")
)"),"분개")</f>
        <v>분개</v>
      </c>
      <c r="F833" s="9" t="s">
        <v>1578</v>
      </c>
    </row>
    <row r="834" ht="20.25" customHeight="1">
      <c r="A834" s="5">
        <v>900.0</v>
      </c>
      <c r="B834" s="6">
        <v>251224.0</v>
      </c>
      <c r="C834" s="4"/>
      <c r="D834" s="7" t="s">
        <v>1579</v>
      </c>
      <c r="E834" s="8" t="str">
        <f>IFERROR(__xludf.DUMMYFUNCTION("IF(
  LEN(TRIM(D834))=0,
  ""왼쪽에 영어 문장을 입력하세요"",
  GOOGLETRANSLATE(D834,""en"",""ko"")
)"),"주요한")</f>
        <v>주요한</v>
      </c>
      <c r="F834" s="9" t="s">
        <v>1580</v>
      </c>
    </row>
    <row r="835" ht="20.25" customHeight="1">
      <c r="A835" s="5">
        <v>901.0</v>
      </c>
      <c r="B835" s="6">
        <v>251224.0</v>
      </c>
      <c r="C835" s="4"/>
      <c r="D835" s="7" t="s">
        <v>1581</v>
      </c>
      <c r="E835" s="8" t="str">
        <f>IFERROR(__xludf.DUMMYFUNCTION("IF(
  LEN(TRIM(D835))=0,
  ""왼쪽에 영어 문장을 입력하세요"",
  GOOGLETRANSLATE(D835,""en"",""ko"")
)"),"더러움")</f>
        <v>더러움</v>
      </c>
      <c r="F835" s="9" t="s">
        <v>1582</v>
      </c>
    </row>
    <row r="836" ht="20.25" customHeight="1">
      <c r="A836" s="5">
        <v>902.0</v>
      </c>
      <c r="B836" s="6">
        <v>251224.0</v>
      </c>
      <c r="C836" s="4"/>
      <c r="D836" s="7" t="s">
        <v>443</v>
      </c>
      <c r="E836" s="8" t="str">
        <f>IFERROR(__xludf.DUMMYFUNCTION("IF(
  LEN(TRIM(D836))=0,
  ""왼쪽에 영어 문장을 입력하세요"",
  GOOGLETRANSLATE(D836,""en"",""ko"")
)"),"앉다")</f>
        <v>앉다</v>
      </c>
      <c r="F836" s="9" t="s">
        <v>1583</v>
      </c>
    </row>
    <row r="837" ht="20.25" customHeight="1">
      <c r="A837" s="5">
        <v>903.0</v>
      </c>
      <c r="B837" s="6">
        <v>251224.0</v>
      </c>
      <c r="C837" s="4"/>
      <c r="D837" s="7" t="s">
        <v>1584</v>
      </c>
      <c r="E837" s="8" t="str">
        <f>IFERROR(__xludf.DUMMYFUNCTION("IF(
  LEN(TRIM(D837))=0,
  ""왼쪽에 영어 문장을 입력하세요"",
  GOOGLETRANSLATE(D837,""en"",""ko"")
)"),"최면적인")</f>
        <v>최면적인</v>
      </c>
      <c r="F837" s="9" t="s">
        <v>1585</v>
      </c>
    </row>
    <row r="838" ht="20.25" customHeight="1">
      <c r="A838" s="5">
        <v>904.0</v>
      </c>
      <c r="B838" s="6">
        <v>251224.0</v>
      </c>
      <c r="C838" s="4"/>
      <c r="D838" s="7" t="s">
        <v>1586</v>
      </c>
      <c r="E838" s="8" t="str">
        <f>IFERROR(__xludf.DUMMYFUNCTION("IF(
  LEN(TRIM(D838))=0,
  ""왼쪽에 영어 문장을 입력하세요"",
  GOOGLETRANSLATE(D838,""en"",""ko"")
)"),"정당화")</f>
        <v>정당화</v>
      </c>
      <c r="F838" s="9" t="s">
        <v>1587</v>
      </c>
    </row>
    <row r="839" ht="20.25" customHeight="1">
      <c r="A839" s="5">
        <v>905.0</v>
      </c>
      <c r="B839" s="6">
        <v>251224.0</v>
      </c>
      <c r="C839" s="4"/>
      <c r="D839" s="7" t="s">
        <v>1588</v>
      </c>
      <c r="E839" s="8" t="str">
        <f>IFERROR(__xludf.DUMMYFUNCTION("IF(
  LEN(TRIM(D839))=0,
  ""왼쪽에 영어 문장을 입력하세요"",
  GOOGLETRANSLATE(D839,""en"",""ko"")
)"),"반대로")</f>
        <v>반대로</v>
      </c>
      <c r="F839" s="9" t="s">
        <v>1589</v>
      </c>
    </row>
    <row r="840" ht="20.25" customHeight="1">
      <c r="A840" s="5">
        <v>906.0</v>
      </c>
      <c r="B840" s="6">
        <v>251224.0</v>
      </c>
      <c r="C840" s="4"/>
      <c r="D840" s="7" t="s">
        <v>1590</v>
      </c>
      <c r="E840" s="8" t="str">
        <f>IFERROR(__xludf.DUMMYFUNCTION("IF(
  LEN(TRIM(D840))=0,
  ""왼쪽에 영어 문장을 입력하세요"",
  GOOGLETRANSLATE(D840,""en"",""ko"")
)"),"그 칼은 분명 날카로웠을 거야. 아니, 오히려 아주 무뎠어.")</f>
        <v>그 칼은 분명 날카로웠을 거야. 아니, 오히려 아주 무뎠어.</v>
      </c>
      <c r="F840" s="9" t="s">
        <v>1591</v>
      </c>
    </row>
    <row r="841" ht="20.25" customHeight="1">
      <c r="A841" s="5">
        <v>907.0</v>
      </c>
      <c r="B841" s="6">
        <v>251224.0</v>
      </c>
      <c r="C841" s="4"/>
      <c r="D841" s="7" t="s">
        <v>1592</v>
      </c>
      <c r="E841" s="8" t="str">
        <f>IFERROR(__xludf.DUMMYFUNCTION("IF(
  LEN(TRIM(D841))=0,
  ""왼쪽에 영어 문장을 입력하세요"",
  GOOGLETRANSLATE(D841,""en"",""ko"")
)"),"실습")</f>
        <v>실습</v>
      </c>
      <c r="F841" s="9" t="s">
        <v>1593</v>
      </c>
    </row>
    <row r="842" ht="20.25" customHeight="1">
      <c r="A842" s="5">
        <v>908.0</v>
      </c>
      <c r="B842" s="6">
        <v>251224.0</v>
      </c>
      <c r="C842" s="4"/>
      <c r="D842" s="7" t="s">
        <v>1594</v>
      </c>
      <c r="E842" s="8" t="str">
        <f>IFERROR(__xludf.DUMMYFUNCTION("IF(
  LEN(TRIM(D842))=0,
  ""왼쪽에 영어 문장을 입력하세요"",
  GOOGLETRANSLATE(D842,""en"",""ko"")
)"),"할인된 가격의 사과")</f>
        <v>할인된 가격의 사과</v>
      </c>
      <c r="F842" s="9" t="s">
        <v>1595</v>
      </c>
    </row>
    <row r="843" ht="20.25" customHeight="1">
      <c r="A843" s="5">
        <v>909.0</v>
      </c>
      <c r="B843" s="6">
        <v>251224.0</v>
      </c>
      <c r="C843" s="4"/>
      <c r="D843" s="7" t="s">
        <v>1596</v>
      </c>
      <c r="E843" s="8" t="str">
        <f>IFERROR(__xludf.DUMMYFUNCTION("IF(
  LEN(TRIM(D843))=0,
  ""왼쪽에 영어 문장을 입력하세요"",
  GOOGLETRANSLATE(D843,""en"",""ko"")
)"),"요리에 꽤 능숙하신 것 같네요.")</f>
        <v>요리에 꽤 능숙하신 것 같네요.</v>
      </c>
      <c r="F843" s="9" t="s">
        <v>1597</v>
      </c>
    </row>
    <row r="844" ht="20.25" customHeight="1">
      <c r="A844" s="5">
        <v>910.0</v>
      </c>
      <c r="B844" s="6">
        <v>251224.0</v>
      </c>
      <c r="C844" s="4"/>
      <c r="D844" s="7" t="s">
        <v>1598</v>
      </c>
      <c r="E844" s="8" t="str">
        <f>IFERROR(__xludf.DUMMYFUNCTION("IF(
  LEN(TRIM(D844))=0,
  ""왼쪽에 영어 문장을 입력하세요"",
  GOOGLETRANSLATE(D844,""en"",""ko"")
)"),"카메라에 대해 잘 아시는 것 같네요.")</f>
        <v>카메라에 대해 잘 아시는 것 같네요.</v>
      </c>
      <c r="F844" s="9" t="s">
        <v>1599</v>
      </c>
    </row>
    <row r="845" ht="20.25" customHeight="1">
      <c r="A845" s="5">
        <v>911.0</v>
      </c>
      <c r="B845" s="6">
        <v>251224.0</v>
      </c>
      <c r="C845" s="4"/>
      <c r="D845" s="7" t="s">
        <v>1600</v>
      </c>
      <c r="E845" s="8" t="str">
        <f>IFERROR(__xludf.DUMMYFUNCTION("IF(
  LEN(TRIM(D845))=0,
  ""왼쪽에 영어 문장을 입력하세요"",
  GOOGLETRANSLATE(D845,""en"",""ko"")
)"),"경쟁심을 드러내는 것처럼 들릴 수도 있지만, 이제 요리 실력에 있어서는 제가 당신을 훨씬 앞지를 수 있을 것 같습니다.")</f>
        <v>경쟁심을 드러내는 것처럼 들릴 수도 있지만, 이제 요리 실력에 있어서는 제가 당신을 훨씬 앞지를 수 있을 것 같습니다.</v>
      </c>
      <c r="F845" s="9" t="s">
        <v>1601</v>
      </c>
    </row>
    <row r="846" ht="20.25" customHeight="1">
      <c r="A846" s="5">
        <v>912.0</v>
      </c>
      <c r="B846" s="6">
        <v>251224.0</v>
      </c>
      <c r="C846" s="4"/>
      <c r="D846" s="7" t="s">
        <v>1602</v>
      </c>
      <c r="E846" s="8" t="str">
        <f>IFERROR(__xludf.DUMMYFUNCTION("IF(
  LEN(TRIM(D846))=0,
  ""왼쪽에 영어 문장을 입력하세요"",
  GOOGLETRANSLATE(D846,""en"",""ko"")
)"),"열망하다")</f>
        <v>열망하다</v>
      </c>
      <c r="F846" s="9" t="s">
        <v>1603</v>
      </c>
    </row>
    <row r="847" ht="20.25" customHeight="1">
      <c r="A847" s="5">
        <v>913.0</v>
      </c>
      <c r="B847" s="6">
        <v>251224.0</v>
      </c>
      <c r="C847" s="4"/>
      <c r="D847" s="7" t="s">
        <v>1604</v>
      </c>
      <c r="E847" s="8" t="str">
        <f>IFERROR(__xludf.DUMMYFUNCTION("IF(
  LEN(TRIM(D847))=0,
  ""왼쪽에 영어 문장을 입력하세요"",
  GOOGLETRANSLATE(D847,""en"",""ko"")
)"),"기구")</f>
        <v>기구</v>
      </c>
      <c r="F847" s="9" t="s">
        <v>1605</v>
      </c>
    </row>
    <row r="848" ht="20.25" customHeight="1">
      <c r="A848" s="5">
        <v>914.0</v>
      </c>
      <c r="B848" s="6">
        <v>251224.0</v>
      </c>
      <c r="C848" s="4"/>
      <c r="D848" s="7" t="s">
        <v>1606</v>
      </c>
      <c r="E848" s="8" t="str">
        <f>IFERROR(__xludf.DUMMYFUNCTION("IF(
  LEN(TRIM(D848))=0,
  ""왼쪽에 영어 문장을 입력하세요"",
  GOOGLETRANSLATE(D848,""en"",""ko"")
)"),"주문에 식기류도 함께 넣어주실 수 있나요?")</f>
        <v>주문에 식기류도 함께 넣어주실 수 있나요?</v>
      </c>
      <c r="F848" s="9" t="s">
        <v>1607</v>
      </c>
    </row>
    <row r="849" ht="20.25" customHeight="1">
      <c r="A849" s="5">
        <v>915.0</v>
      </c>
      <c r="B849" s="6">
        <v>251224.0</v>
      </c>
      <c r="C849" s="4"/>
      <c r="D849" s="7" t="s">
        <v>1608</v>
      </c>
      <c r="E849" s="8" t="str">
        <f>IFERROR(__xludf.DUMMYFUNCTION("IF(
  LEN(TRIM(D849))=0,
  ""왼쪽에 영어 문장을 입력하세요"",
  GOOGLETRANSLATE(D849,""en"",""ko"")
)"),"식기는 필요 없습니다. 감사합니다.")</f>
        <v>식기는 필요 없습니다. 감사합니다.</v>
      </c>
      <c r="F849" s="9" t="s">
        <v>1609</v>
      </c>
    </row>
    <row r="850" ht="20.25" customHeight="1">
      <c r="A850" s="5">
        <v>916.0</v>
      </c>
      <c r="B850" s="6">
        <v>251224.0</v>
      </c>
      <c r="C850" s="4"/>
      <c r="D850" s="7" t="s">
        <v>1610</v>
      </c>
      <c r="E850" s="8" t="str">
        <f>IFERROR(__xludf.DUMMYFUNCTION("IF(
  LEN(TRIM(D850))=0,
  ""왼쪽에 영어 문장을 입력하세요"",
  GOOGLETRANSLATE(D850,""en"",""ko"")
)"),"두 사람 몫의 식기를 추가로 넣어주세요.")</f>
        <v>두 사람 몫의 식기를 추가로 넣어주세요.</v>
      </c>
      <c r="F850" s="9" t="s">
        <v>1611</v>
      </c>
    </row>
    <row r="851" ht="20.25" customHeight="1">
      <c r="A851" s="5">
        <v>917.0</v>
      </c>
      <c r="B851" s="6">
        <v>251224.0</v>
      </c>
      <c r="C851" s="4"/>
      <c r="D851" s="7" t="s">
        <v>1612</v>
      </c>
      <c r="E851" s="8" t="str">
        <f>IFERROR(__xludf.DUMMYFUNCTION("IF(
  LEN(TRIM(D851))=0,
  ""왼쪽에 영어 문장을 입력하세요"",
  GOOGLETRANSLATE(D851,""en"",""ko"")
)"),"선택하다")</f>
        <v>선택하다</v>
      </c>
      <c r="F851" s="9" t="s">
        <v>1613</v>
      </c>
    </row>
    <row r="852" ht="20.25" customHeight="1">
      <c r="A852" s="5">
        <v>918.0</v>
      </c>
      <c r="B852" s="6">
        <v>251224.0</v>
      </c>
      <c r="C852" s="4"/>
      <c r="D852" s="7" t="s">
        <v>1614</v>
      </c>
      <c r="E852" s="8" t="str">
        <f>IFERROR(__xludf.DUMMYFUNCTION("IF(
  LEN(TRIM(D852))=0,
  ""왼쪽에 영어 문장을 입력하세요"",
  GOOGLETRANSLATE(D852,""en"",""ko"")
)"),"우리는 매장에서 식사하는 대신 포장을 선택했습니다.")</f>
        <v>우리는 매장에서 식사하는 대신 포장을 선택했습니다.</v>
      </c>
      <c r="F852" s="9" t="s">
        <v>1615</v>
      </c>
    </row>
    <row r="853" ht="20.25" customHeight="1">
      <c r="A853" s="5">
        <v>919.0</v>
      </c>
      <c r="B853" s="6">
        <v>251224.0</v>
      </c>
      <c r="C853" s="4"/>
      <c r="D853" s="7" t="s">
        <v>1616</v>
      </c>
      <c r="E853" s="8" t="str">
        <f>IFERROR(__xludf.DUMMYFUNCTION("IF(
  LEN(TRIM(D853))=0,
  ""왼쪽에 영어 문장을 입력하세요"",
  GOOGLETRANSLATE(D853,""en"",""ko"")
)"),"수륙 양용 지프")</f>
        <v>수륙 양용 지프</v>
      </c>
      <c r="F853" s="9" t="s">
        <v>1617</v>
      </c>
    </row>
    <row r="854" ht="20.25" customHeight="1">
      <c r="A854" s="5">
        <v>920.0</v>
      </c>
      <c r="B854" s="6">
        <v>251224.0</v>
      </c>
      <c r="C854" s="4"/>
      <c r="D854" s="7" t="s">
        <v>1618</v>
      </c>
      <c r="E854" s="8" t="str">
        <f>IFERROR(__xludf.DUMMYFUNCTION("IF(
  LEN(TRIM(D854))=0,
  ""왼쪽에 영어 문장을 입력하세요"",
  GOOGLETRANSLATE(D854,""en"",""ko"")
)"),"포크 오버")</f>
        <v>포크 오버</v>
      </c>
      <c r="F854" s="9" t="s">
        <v>1619</v>
      </c>
    </row>
    <row r="855" ht="20.25" customHeight="1">
      <c r="A855" s="5">
        <v>921.0</v>
      </c>
      <c r="B855" s="6">
        <v>251224.0</v>
      </c>
      <c r="C855" s="4"/>
      <c r="D855" s="7" t="s">
        <v>1620</v>
      </c>
      <c r="E855" s="8" t="str">
        <f>IFERROR(__xludf.DUMMYFUNCTION("IF(
  LEN(TRIM(D855))=0,
  ""왼쪽에 영어 문장을 입력하세요"",
  GOOGLETRANSLATE(D855,""en"",""ko"")
)"),"사이펀")</f>
        <v>사이펀</v>
      </c>
      <c r="F855" s="9" t="s">
        <v>1621</v>
      </c>
    </row>
    <row r="856" ht="20.25" customHeight="1">
      <c r="A856" s="5">
        <v>922.0</v>
      </c>
      <c r="B856" s="6">
        <v>251224.0</v>
      </c>
      <c r="C856" s="4"/>
      <c r="D856" s="7" t="s">
        <v>1622</v>
      </c>
      <c r="E856" s="8" t="str">
        <f>IFERROR(__xludf.DUMMYFUNCTION("IF(
  LEN(TRIM(D856))=0,
  ""왼쪽에 영어 문장을 입력하세요"",
  GOOGLETRANSLATE(D856,""en"",""ko"")
)"),"무법자")</f>
        <v>무법자</v>
      </c>
      <c r="F856" s="9" t="s">
        <v>1623</v>
      </c>
    </row>
    <row r="857" ht="20.25" customHeight="1">
      <c r="A857" s="5">
        <v>923.0</v>
      </c>
      <c r="B857" s="6">
        <v>251224.0</v>
      </c>
      <c r="C857" s="4"/>
      <c r="D857" s="7" t="s">
        <v>1624</v>
      </c>
      <c r="E857" s="8" t="str">
        <f>IFERROR(__xludf.DUMMYFUNCTION("IF(
  LEN(TRIM(D857))=0,
  ""왼쪽에 영어 문장을 입력하세요"",
  GOOGLETRANSLATE(D857,""en"",""ko"")
)"),"포크로어")</f>
        <v>포크로어</v>
      </c>
      <c r="F857" s="9" t="s">
        <v>1625</v>
      </c>
    </row>
    <row r="858" ht="20.25" customHeight="1">
      <c r="A858" s="5">
        <v>924.0</v>
      </c>
      <c r="B858" s="6">
        <v>251224.0</v>
      </c>
      <c r="C858" s="4"/>
      <c r="D858" s="7" t="s">
        <v>1626</v>
      </c>
      <c r="E858" s="8" t="str">
        <f>IFERROR(__xludf.DUMMYFUNCTION("IF(
  LEN(TRIM(D858))=0,
  ""왼쪽에 영어 문장을 입력하세요"",
  GOOGLETRANSLATE(D858,""en"",""ko"")
)"),"약탈")</f>
        <v>약탈</v>
      </c>
      <c r="F858" s="9" t="s">
        <v>1627</v>
      </c>
    </row>
    <row r="859" ht="20.25" customHeight="1">
      <c r="A859" s="5">
        <v>925.0</v>
      </c>
      <c r="B859" s="6">
        <v>251224.0</v>
      </c>
      <c r="C859" s="4"/>
      <c r="D859" s="7" t="s">
        <v>1628</v>
      </c>
      <c r="E859" s="8" t="str">
        <f>IFERROR(__xludf.DUMMYFUNCTION("IF(
  LEN(TRIM(D859))=0,
  ""왼쪽에 영어 문장을 입력하세요"",
  GOOGLETRANSLATE(D859,""en"",""ko"")
)"),"부유한")</f>
        <v>부유한</v>
      </c>
      <c r="F859" s="9" t="s">
        <v>1629</v>
      </c>
    </row>
    <row r="860" ht="20.25" customHeight="1">
      <c r="A860" s="5">
        <v>926.0</v>
      </c>
      <c r="B860" s="6">
        <v>251224.0</v>
      </c>
      <c r="C860" s="4"/>
      <c r="D860" s="7" t="s">
        <v>1630</v>
      </c>
      <c r="E860" s="8" t="str">
        <f>IFERROR(__xludf.DUMMYFUNCTION("IF(
  LEN(TRIM(D860))=0,
  ""왼쪽에 영어 문장을 입력하세요"",
  GOOGLETRANSLATE(D860,""en"",""ko"")
)"),"통제 물질")</f>
        <v>통제 물질</v>
      </c>
      <c r="F860" s="9" t="s">
        <v>1631</v>
      </c>
    </row>
    <row r="861" ht="20.25" customHeight="1">
      <c r="A861" s="5">
        <v>927.0</v>
      </c>
      <c r="B861" s="6">
        <v>251224.0</v>
      </c>
      <c r="C861" s="4"/>
      <c r="D861" s="7" t="s">
        <v>1632</v>
      </c>
      <c r="E861" s="8" t="str">
        <f>IFERROR(__xludf.DUMMYFUNCTION("IF(
  LEN(TRIM(D861))=0,
  ""왼쪽에 영어 문장을 입력하세요"",
  GOOGLETRANSLATE(D861,""en"",""ko"")
)"),"2025년은 파란 뱀의 해 아닌가요? 뱀은 12지신이고, 오행은 나무, 불, 흙, 금(금), 물이라고 하잖아요. 오행은 색깔과 관련이 있는 것 같아요.")</f>
        <v>2025년은 파란 뱀의 해 아닌가요? 뱀은 12지신이고, 오행은 나무, 불, 흙, 금(금), 물이라고 하잖아요. 오행은 색깔과 관련이 있는 것 같아요.</v>
      </c>
      <c r="F861" s="9" t="s">
        <v>1633</v>
      </c>
    </row>
    <row r="862" ht="20.25" customHeight="1">
      <c r="A862" s="5">
        <v>928.0</v>
      </c>
      <c r="B862" s="6">
        <v>251224.0</v>
      </c>
      <c r="C862" s="4"/>
      <c r="D862" s="7" t="s">
        <v>1634</v>
      </c>
      <c r="E862" s="8" t="str">
        <f>IFERROR(__xludf.DUMMYFUNCTION("IF(
  LEN(TRIM(D862))=0,
  ""왼쪽에 영어 문장을 입력하세요"",
  GOOGLETRANSLATE(D862,""en"",""ko"")
)"),"꼼꼼하게")</f>
        <v>꼼꼼하게</v>
      </c>
      <c r="F862" s="9" t="s">
        <v>1635</v>
      </c>
    </row>
    <row r="863" ht="20.25" customHeight="1">
      <c r="A863" s="5">
        <v>929.0</v>
      </c>
      <c r="B863" s="6">
        <v>251224.0</v>
      </c>
      <c r="C863" s="4"/>
      <c r="D863" s="7" t="s">
        <v>1636</v>
      </c>
      <c r="E863" s="8" t="str">
        <f>IFERROR(__xludf.DUMMYFUNCTION("IF(
  LEN(TRIM(D863))=0,
  ""왼쪽에 영어 문장을 입력하세요"",
  GOOGLETRANSLATE(D863,""en"",""ko"")
)"),"음주 운전")</f>
        <v>음주 운전</v>
      </c>
      <c r="F863" s="9" t="s">
        <v>1637</v>
      </c>
    </row>
    <row r="864" ht="20.25" customHeight="1">
      <c r="A864" s="5">
        <v>930.0</v>
      </c>
      <c r="B864" s="6">
        <v>251224.0</v>
      </c>
      <c r="C864" s="4"/>
      <c r="D864" s="7" t="s">
        <v>1638</v>
      </c>
      <c r="E864" s="8" t="str">
        <f>IFERROR(__xludf.DUMMYFUNCTION("IF(
  LEN(TRIM(D864))=0,
  ""왼쪽에 영어 문장을 입력하세요"",
  GOOGLETRANSLATE(D864,""en"",""ko"")
)"),"도보 여행가")</f>
        <v>도보 여행가</v>
      </c>
      <c r="F864" s="9" t="s">
        <v>1639</v>
      </c>
    </row>
    <row r="865" ht="20.25" customHeight="1">
      <c r="A865" s="5">
        <v>931.0</v>
      </c>
      <c r="B865" s="6">
        <v>251224.0</v>
      </c>
      <c r="C865" s="4"/>
      <c r="D865" s="7" t="s">
        <v>1640</v>
      </c>
      <c r="E865" s="8" t="str">
        <f>IFERROR(__xludf.DUMMYFUNCTION("IF(
  LEN(TRIM(D865))=0,
  ""왼쪽에 영어 문장을 입력하세요"",
  GOOGLETRANSLATE(D865,""en"",""ko"")
)"),"원치 않는")</f>
        <v>원치 않는</v>
      </c>
      <c r="F865" s="9" t="s">
        <v>1641</v>
      </c>
    </row>
    <row r="866" ht="20.25" customHeight="1">
      <c r="A866" s="5">
        <v>932.0</v>
      </c>
      <c r="B866" s="6">
        <v>251224.0</v>
      </c>
      <c r="C866" s="4"/>
      <c r="D866" s="7" t="s">
        <v>1642</v>
      </c>
      <c r="E866" s="8" t="str">
        <f>IFERROR(__xludf.DUMMYFUNCTION("IF(
  LEN(TRIM(D866))=0,
  ""왼쪽에 영어 문장을 입력하세요"",
  GOOGLETRANSLATE(D866,""en"",""ko"")
)"),"뒤얽힌")</f>
        <v>뒤얽힌</v>
      </c>
      <c r="F866" s="9" t="s">
        <v>1643</v>
      </c>
    </row>
    <row r="867" ht="20.25" customHeight="1">
      <c r="A867" s="5">
        <v>933.0</v>
      </c>
      <c r="B867" s="6">
        <v>251224.0</v>
      </c>
      <c r="C867" s="4"/>
      <c r="D867" s="7" t="s">
        <v>738</v>
      </c>
      <c r="E867" s="8" t="str">
        <f>IFERROR(__xludf.DUMMYFUNCTION("IF(
  LEN(TRIM(D867))=0,
  ""왼쪽에 영어 문장을 입력하세요"",
  GOOGLETRANSLATE(D867,""en"",""ko"")
)"),"큰 기회")</f>
        <v>큰 기회</v>
      </c>
      <c r="F867" s="9" t="s">
        <v>1644</v>
      </c>
    </row>
    <row r="868" ht="20.25" customHeight="1">
      <c r="A868" s="5">
        <v>934.0</v>
      </c>
      <c r="B868" s="6">
        <v>251224.0</v>
      </c>
      <c r="C868" s="4"/>
      <c r="D868" s="7" t="s">
        <v>1645</v>
      </c>
      <c r="E868" s="8" t="str">
        <f>IFERROR(__xludf.DUMMYFUNCTION("IF(
  LEN(TRIM(D868))=0,
  ""왼쪽에 영어 문장을 입력하세요"",
  GOOGLETRANSLATE(D868,""en"",""ko"")
)"),"만나기 전에 제 생각을 당신과 상의하고 싶었어요.")</f>
        <v>만나기 전에 제 생각을 당신과 상의하고 싶었어요.</v>
      </c>
      <c r="F868" s="9" t="s">
        <v>1646</v>
      </c>
    </row>
    <row r="869" ht="20.25" customHeight="1">
      <c r="A869" s="5">
        <v>935.0</v>
      </c>
      <c r="B869" s="6">
        <v>251224.0</v>
      </c>
      <c r="C869" s="4"/>
      <c r="D869" s="7" t="s">
        <v>1647</v>
      </c>
      <c r="E869" s="8" t="str">
        <f>IFERROR(__xludf.DUMMYFUNCTION("IF(
  LEN(TRIM(D869))=0,
  ""왼쪽에 영어 문장을 입력하세요"",
  GOOGLETRANSLATE(D869,""en"",""ko"")
)"),"제가 듣기로는 당신은 업계에 대해 누구보다도 속속들이 잘 알고 계신 것 같습니다.")</f>
        <v>제가 듣기로는 당신은 업계에 대해 누구보다도 속속들이 잘 알고 계신 것 같습니다.</v>
      </c>
      <c r="F869" s="9" t="s">
        <v>1648</v>
      </c>
    </row>
    <row r="870" ht="20.25" customHeight="1">
      <c r="A870" s="5">
        <v>936.0</v>
      </c>
      <c r="B870" s="6">
        <v>251224.0</v>
      </c>
      <c r="C870" s="4"/>
      <c r="D870" s="7" t="s">
        <v>1649</v>
      </c>
      <c r="E870" s="8" t="str">
        <f>IFERROR(__xludf.DUMMYFUNCTION("IF(
  LEN(TRIM(D870))=0,
  ""왼쪽에 영어 문장을 입력하세요"",
  GOOGLETRANSLATE(D870,""en"",""ko"")
)"),"주사위를 던지다")</f>
        <v>주사위를 던지다</v>
      </c>
      <c r="F870" s="9" t="s">
        <v>1650</v>
      </c>
    </row>
    <row r="871" ht="20.25" customHeight="1">
      <c r="A871" s="5">
        <v>937.0</v>
      </c>
      <c r="B871" s="6">
        <v>251224.0</v>
      </c>
      <c r="C871" s="4"/>
      <c r="D871" s="7" t="s">
        <v>1651</v>
      </c>
      <c r="E871" s="8" t="str">
        <f>IFERROR(__xludf.DUMMYFUNCTION("IF(
  LEN(TRIM(D871))=0,
  ""왼쪽에 영어 문장을 입력하세요"",
  GOOGLETRANSLATE(D871,""en"",""ko"")
)"),"이 나이에 직업을 바꾸는 건 정말 운에 맡기는 일이죠.")</f>
        <v>이 나이에 직업을 바꾸는 건 정말 운에 맡기는 일이죠.</v>
      </c>
      <c r="F871" s="9" t="s">
        <v>1652</v>
      </c>
    </row>
    <row r="872" ht="20.25" customHeight="1">
      <c r="A872" s="5">
        <v>938.0</v>
      </c>
      <c r="B872" s="6">
        <v>251224.0</v>
      </c>
      <c r="C872" s="4"/>
      <c r="D872" s="7" t="s">
        <v>1653</v>
      </c>
      <c r="E872" s="8" t="str">
        <f>IFERROR(__xludf.DUMMYFUNCTION("IF(
  LEN(TRIM(D872))=0,
  ""왼쪽에 영어 문장을 입력하세요"",
  GOOGLETRANSLATE(D872,""en"",""ko"")
)"),"유용하다")</f>
        <v>유용하다</v>
      </c>
      <c r="F872" s="9" t="s">
        <v>1654</v>
      </c>
    </row>
    <row r="873" ht="20.25" customHeight="1">
      <c r="A873" s="5">
        <v>939.0</v>
      </c>
      <c r="B873" s="6">
        <v>251224.0</v>
      </c>
      <c r="C873" s="4"/>
      <c r="D873" s="7" t="s">
        <v>1655</v>
      </c>
      <c r="E873" s="8" t="str">
        <f>IFERROR(__xludf.DUMMYFUNCTION("IF(
  LEN(TRIM(D873))=0,
  ""왼쪽에 영어 문장을 입력하세요"",
  GOOGLETRANSLATE(D873,""en"",""ko"")
)"),"너처럼 강력한 친구가 있다는 건 정말 도움이 될 수 있어.")</f>
        <v>너처럼 강력한 친구가 있다는 건 정말 도움이 될 수 있어.</v>
      </c>
      <c r="F873" s="9" t="s">
        <v>1656</v>
      </c>
    </row>
    <row r="874" ht="20.25" customHeight="1">
      <c r="A874" s="5">
        <v>940.0</v>
      </c>
      <c r="B874" s="6">
        <v>251224.0</v>
      </c>
      <c r="C874" s="4"/>
      <c r="D874" s="7" t="s">
        <v>1657</v>
      </c>
      <c r="E874" s="8" t="str">
        <f>IFERROR(__xludf.DUMMYFUNCTION("IF(
  LEN(TRIM(D874))=0,
  ""왼쪽에 영어 문장을 입력하세요"",
  GOOGLETRANSLATE(D874,""en"",""ko"")
)"),"우리 여행이 끝나가고 있어요")</f>
        <v>우리 여행이 끝나가고 있어요</v>
      </c>
      <c r="F874" s="9" t="s">
        <v>1658</v>
      </c>
    </row>
    <row r="875" ht="20.25" customHeight="1">
      <c r="A875" s="5">
        <v>941.0</v>
      </c>
      <c r="B875" s="6">
        <v>251224.0</v>
      </c>
      <c r="C875" s="4"/>
      <c r="D875" s="7" t="s">
        <v>1659</v>
      </c>
      <c r="E875" s="8" t="str">
        <f>IFERROR(__xludf.DUMMYFUNCTION("IF(
  LEN(TRIM(D875))=0,
  ""왼쪽에 영어 문장을 입력하세요"",
  GOOGLETRANSLATE(D875,""en"",""ko"")
)"),"비디오 게임은 일상생활에서 주의를 분산시키고, 스트레스를 해소하며, 성취감을 증진시킬 수 있습니다.")</f>
        <v>비디오 게임은 일상생활에서 주의를 분산시키고, 스트레스를 해소하며, 성취감을 증진시킬 수 있습니다.</v>
      </c>
      <c r="F875" s="9" t="s">
        <v>1660</v>
      </c>
    </row>
    <row r="876" ht="20.25" customHeight="1">
      <c r="A876" s="5">
        <v>942.0</v>
      </c>
      <c r="B876" s="6">
        <v>251224.0</v>
      </c>
      <c r="C876" s="4"/>
      <c r="D876" s="7" t="s">
        <v>1661</v>
      </c>
      <c r="E876" s="8" t="str">
        <f>IFERROR(__xludf.DUMMYFUNCTION("IF(
  LEN(TRIM(D876))=0,
  ""왼쪽에 영어 문장을 입력하세요"",
  GOOGLETRANSLATE(D876,""en"",""ko"")
)"),"강아지를 만져봐도 될까요?")</f>
        <v>강아지를 만져봐도 될까요?</v>
      </c>
      <c r="F876" s="9" t="s">
        <v>1662</v>
      </c>
    </row>
    <row r="877" ht="20.25" customHeight="1">
      <c r="A877" s="5">
        <v>943.0</v>
      </c>
      <c r="B877" s="6">
        <v>251224.0</v>
      </c>
      <c r="C877" s="4"/>
      <c r="D877" s="7" t="s">
        <v>1663</v>
      </c>
      <c r="E877" s="8" t="str">
        <f>IFERROR(__xludf.DUMMYFUNCTION("IF(
  LEN(TRIM(D877))=0,
  ""왼쪽에 영어 문장을 입력하세요"",
  GOOGLETRANSLATE(D877,""en"",""ko"")
)"),"검은색 녀석은 건드리지 마세요.
낯선 사람을 싫어하거든요.")</f>
        <v>검은색 녀석은 건드리지 마세요.
낯선 사람을 싫어하거든요.</v>
      </c>
      <c r="F877" s="9" t="s">
        <v>1664</v>
      </c>
    </row>
    <row r="878" ht="20.25" customHeight="1">
      <c r="A878" s="5">
        <v>944.0</v>
      </c>
      <c r="B878" s="6">
        <v>251224.0</v>
      </c>
      <c r="C878" s="4"/>
      <c r="D878" s="7" t="s">
        <v>1665</v>
      </c>
      <c r="E878" s="8" t="str">
        <f>IFERROR(__xludf.DUMMYFUNCTION("IF(
  LEN(TRIM(D878))=0,
  ""왼쪽에 영어 문장을 입력하세요"",
  GOOGLETRANSLATE(D878,""en"",""ko"")
)"),"잘 알려지지 않은 길")</f>
        <v>잘 알려지지 않은 길</v>
      </c>
      <c r="F878" s="9" t="s">
        <v>1666</v>
      </c>
    </row>
    <row r="879" ht="20.25" customHeight="1">
      <c r="A879" s="5">
        <v>945.0</v>
      </c>
      <c r="B879" s="6">
        <v>251224.0</v>
      </c>
      <c r="C879" s="4"/>
      <c r="D879" s="7" t="s">
        <v>1667</v>
      </c>
      <c r="E879" s="8" t="str">
        <f>IFERROR(__xludf.DUMMYFUNCTION("IF(
  LEN(TRIM(D879))=0,
  ""왼쪽에 영어 문장을 입력하세요"",
  GOOGLETRANSLATE(D879,""en"",""ko"")
)"),"그는 조용히 책을 쓸 수 있도록 인적이 드문 곳에 집을 빌렸다.")</f>
        <v>그는 조용히 책을 쓸 수 있도록 인적이 드문 곳에 집을 빌렸다.</v>
      </c>
      <c r="F879" s="9" t="s">
        <v>1668</v>
      </c>
    </row>
    <row r="880" ht="20.25" customHeight="1">
      <c r="A880" s="5">
        <v>946.0</v>
      </c>
      <c r="B880" s="6">
        <v>251224.0</v>
      </c>
      <c r="C880" s="4"/>
      <c r="D880" s="7" t="s">
        <v>1669</v>
      </c>
      <c r="E880" s="8" t="str">
        <f>IFERROR(__xludf.DUMMYFUNCTION("IF(
  LEN(TRIM(D880))=0,
  ""왼쪽에 영어 문장을 입력하세요"",
  GOOGLETRANSLATE(D880,""en"",""ko"")
)"),"그곳은 사람들이 잘 다니지 않는 곳이라 아마 우리밖에 없을 거예요.")</f>
        <v>그곳은 사람들이 잘 다니지 않는 곳이라 아마 우리밖에 없을 거예요.</v>
      </c>
      <c r="F880" s="9" t="s">
        <v>1670</v>
      </c>
    </row>
    <row r="881" ht="20.25" customHeight="1">
      <c r="A881" s="5">
        <v>947.0</v>
      </c>
      <c r="B881" s="6">
        <v>251224.0</v>
      </c>
      <c r="C881" s="4"/>
      <c r="D881" s="7" t="s">
        <v>1671</v>
      </c>
      <c r="E881" s="8" t="str">
        <f>IFERROR(__xludf.DUMMYFUNCTION("IF(
  LEN(TRIM(D881))=0,
  ""왼쪽에 영어 문장을 입력하세요"",
  GOOGLETRANSLATE(D881,""en"",""ko"")
)"),"우연히 (~에)")</f>
        <v>우연히 (~에)</v>
      </c>
      <c r="F881" s="9" t="s">
        <v>1672</v>
      </c>
    </row>
    <row r="882" ht="20.25" customHeight="1">
      <c r="A882" s="5">
        <v>948.0</v>
      </c>
      <c r="B882" s="6">
        <v>251224.0</v>
      </c>
      <c r="C882" s="4"/>
      <c r="D882" s="7" t="s">
        <v>1673</v>
      </c>
      <c r="E882" s="8" t="str">
        <f>IFERROR(__xludf.DUMMYFUNCTION("IF(
  LEN(TRIM(D882))=0,
  ""왼쪽에 영어 문장을 입력하세요"",
  GOOGLETRANSLATE(D882,""en"",""ko"")
)"),"조깅 중에 우연히 누구를 만났는지 보세요!")</f>
        <v>조깅 중에 우연히 누구를 만났는지 보세요!</v>
      </c>
      <c r="F882" s="9" t="s">
        <v>1674</v>
      </c>
    </row>
    <row r="883" ht="20.25" customHeight="1">
      <c r="A883" s="5">
        <v>949.0</v>
      </c>
      <c r="B883" s="6">
        <v>251224.0</v>
      </c>
      <c r="C883" s="4"/>
      <c r="D883" s="7" t="s">
        <v>1675</v>
      </c>
      <c r="E883" s="8" t="str">
        <f>IFERROR(__xludf.DUMMYFUNCTION("IF(
  LEN(TRIM(D883))=0,
  ""왼쪽에 영어 문장을 입력하세요"",
  GOOGLETRANSLATE(D883,""en"",""ko"")
)"),"어제 우연히 헌책방을 발견해서 세 시간 동안 머물렀어요.")</f>
        <v>어제 우연히 헌책방을 발견해서 세 시간 동안 머물렀어요.</v>
      </c>
      <c r="F883" s="9" t="s">
        <v>1676</v>
      </c>
    </row>
    <row r="884">
      <c r="A884" s="5">
        <v>950.0</v>
      </c>
      <c r="B884" s="6">
        <v>251224.0</v>
      </c>
      <c r="C884" s="4"/>
      <c r="D884" s="7" t="s">
        <v>1677</v>
      </c>
      <c r="E884" s="8" t="str">
        <f>IFERROR(__xludf.DUMMYFUNCTION("IF(
  LEN(TRIM(D884))=0,
  ""왼쪽에 영어 문장을 입력하세요"",
  GOOGLETRANSLATE(D884,""en"",""ko"")
)"),"2월에 발렌타인데이가 있는 건 알지만, 발렌타인데이를 제대로 챙겨본 지 너무 오래됐어.
난 솔로라서 그냥 나 혼자 초콜릿 사 먹어. 왜냐고?
다른 사람들은 다 즐겁게 보내잖아. 나도 즐겁게 보내고 싶단 말이야.")</f>
        <v>2월에 발렌타인데이가 있는 건 알지만, 발렌타인데이를 제대로 챙겨본 지 너무 오래됐어.
난 솔로라서 그냥 나 혼자 초콜릿 사 먹어. 왜냐고?
다른 사람들은 다 즐겁게 보내잖아. 나도 즐겁게 보내고 싶단 말이야.</v>
      </c>
      <c r="F884" s="9" t="s">
        <v>1678</v>
      </c>
    </row>
    <row r="885" ht="20.25" customHeight="1">
      <c r="A885" s="5">
        <v>951.0</v>
      </c>
      <c r="B885" s="6">
        <v>251224.0</v>
      </c>
      <c r="C885" s="4"/>
      <c r="D885" s="7" t="s">
        <v>1679</v>
      </c>
      <c r="E885" s="8" t="str">
        <f>IFERROR(__xludf.DUMMYFUNCTION("IF(
  LEN(TRIM(D885))=0,
  ""왼쪽에 영어 문장을 입력하세요"",
  GOOGLETRANSLATE(D885,""en"",""ko"")
)"),"퍼딧")</f>
        <v>퍼딧</v>
      </c>
      <c r="F885" s="9" t="s">
        <v>1680</v>
      </c>
    </row>
    <row r="886" ht="20.25" customHeight="1">
      <c r="A886" s="5">
        <v>952.0</v>
      </c>
      <c r="B886" s="6">
        <v>251224.0</v>
      </c>
      <c r="C886" s="4"/>
      <c r="D886" s="7" t="s">
        <v>1681</v>
      </c>
      <c r="E886" s="8" t="str">
        <f>IFERROR(__xludf.DUMMYFUNCTION("IF(
  LEN(TRIM(D886))=0,
  ""왼쪽에 영어 문장을 입력하세요"",
  GOOGLETRANSLATE(D886,""en"",""ko"")
)"),"솔직한")</f>
        <v>솔직한</v>
      </c>
      <c r="F886" s="9" t="s">
        <v>1682</v>
      </c>
    </row>
    <row r="887" ht="20.25" customHeight="1">
      <c r="A887" s="5">
        <v>953.0</v>
      </c>
      <c r="B887" s="6">
        <v>251224.0</v>
      </c>
      <c r="C887" s="4"/>
      <c r="D887" s="7" t="s">
        <v>1683</v>
      </c>
      <c r="E887" s="8" t="str">
        <f>IFERROR(__xludf.DUMMYFUNCTION("IF(
  LEN(TRIM(D887))=0,
  ""왼쪽에 영어 문장을 입력하세요"",
  GOOGLETRANSLATE(D887,""en"",""ko"")
)"),"건선(써라이어시스)")</f>
        <v>건선(써라이어시스)</v>
      </c>
      <c r="F887" s="9" t="s">
        <v>1684</v>
      </c>
    </row>
    <row r="888" ht="20.25" customHeight="1">
      <c r="A888" s="5">
        <v>954.0</v>
      </c>
      <c r="B888" s="6">
        <v>251224.0</v>
      </c>
      <c r="C888" s="4"/>
      <c r="D888" s="7" t="s">
        <v>1685</v>
      </c>
      <c r="E888" s="8" t="str">
        <f>IFERROR(__xludf.DUMMYFUNCTION("IF(
  LEN(TRIM(D888))=0,
  ""왼쪽에 영어 문장을 입력하세요"",
  GOOGLETRANSLATE(D888,""en"",""ko"")
)"),"eczema(엑지마)")</f>
        <v>eczema(엑지마)</v>
      </c>
      <c r="F888" s="9" t="s">
        <v>1686</v>
      </c>
    </row>
    <row r="889" ht="20.25" customHeight="1">
      <c r="A889" s="5">
        <v>955.0</v>
      </c>
      <c r="B889" s="6">
        <v>251224.0</v>
      </c>
      <c r="C889" s="4"/>
      <c r="D889" s="7" t="s">
        <v>1687</v>
      </c>
      <c r="E889" s="8" t="str">
        <f>IFERROR(__xludf.DUMMYFUNCTION("IF(
  LEN(TRIM(D889))=0,
  ""왼쪽에 영어 문장을 입력하세요"",
  GOOGLETRANSLATE(D889,""en"",""ko"")
)"),"마취")</f>
        <v>마취</v>
      </c>
      <c r="F889" s="9" t="s">
        <v>1688</v>
      </c>
    </row>
    <row r="890" ht="20.25" customHeight="1">
      <c r="A890" s="5">
        <v>956.0</v>
      </c>
      <c r="B890" s="6">
        <v>251224.0</v>
      </c>
      <c r="C890" s="4"/>
      <c r="D890" s="7" t="s">
        <v>1689</v>
      </c>
      <c r="E890" s="8" t="str">
        <f>IFERROR(__xludf.DUMMYFUNCTION("IF(
  LEN(TRIM(D890))=0,
  ""왼쪽에 영어 문장을 입력하세요"",
  GOOGLETRANSLATE(D890,""en"",""ko"")
)"),"금요일 저녁 6시에 사장님이 우리를 여기로 부르다니 믿을 수가 없어.")</f>
        <v>금요일 저녁 6시에 사장님이 우리를 여기로 부르다니 믿을 수가 없어.</v>
      </c>
      <c r="F890" s="9" t="s">
        <v>1690</v>
      </c>
    </row>
    <row r="891" ht="20.25" customHeight="1">
      <c r="A891" s="5">
        <v>957.0</v>
      </c>
      <c r="B891" s="6">
        <v>251224.0</v>
      </c>
      <c r="C891" s="4"/>
      <c r="D891" s="7" t="s">
        <v>1691</v>
      </c>
      <c r="E891" s="8" t="str">
        <f>IFERROR(__xludf.DUMMYFUNCTION("IF(
  LEN(TRIM(D891))=0,
  ""왼쪽에 영어 문장을 입력하세요"",
  GOOGLETRANSLATE(D891,""en"",""ko"")
)"),"막판 회의는 이제 그만둬야 합니다.")</f>
        <v>막판 회의는 이제 그만둬야 합니다.</v>
      </c>
      <c r="F891" s="9" t="s">
        <v>1692</v>
      </c>
    </row>
    <row r="892" ht="20.25" customHeight="1">
      <c r="A892" s="5">
        <v>958.0</v>
      </c>
      <c r="B892" s="6">
        <v>251224.0</v>
      </c>
      <c r="C892" s="4"/>
      <c r="D892" s="7" t="s">
        <v>1693</v>
      </c>
      <c r="E892" s="8" t="str">
        <f>IFERROR(__xludf.DUMMYFUNCTION("IF(
  LEN(TRIM(D892))=0,
  ""왼쪽에 영어 문장을 입력하세요"",
  GOOGLETRANSLATE(D892,""en"",""ko"")
)"),"더운 기후에서 고인 물은 모기떼의 번식을 촉진합니다.")</f>
        <v>더운 기후에서 고인 물은 모기떼의 번식을 촉진합니다.</v>
      </c>
      <c r="F892" s="9" t="s">
        <v>1694</v>
      </c>
    </row>
    <row r="893" ht="20.25" customHeight="1">
      <c r="A893" s="5">
        <v>959.0</v>
      </c>
      <c r="B893" s="6">
        <v>251224.0</v>
      </c>
      <c r="C893" s="4"/>
      <c r="D893" s="7" t="s">
        <v>1695</v>
      </c>
      <c r="E893" s="8" t="str">
        <f>IFERROR(__xludf.DUMMYFUNCTION("IF(
  LEN(TRIM(D893))=0,
  ""왼쪽에 영어 문장을 입력하세요"",
  GOOGLETRANSLATE(D893,""en"",""ko"")
)"),"일상의 고단함")</f>
        <v>일상의 고단함</v>
      </c>
      <c r="F893" s="9" t="s">
        <v>1696</v>
      </c>
    </row>
    <row r="894" ht="20.25" customHeight="1">
      <c r="A894" s="5">
        <v>960.0</v>
      </c>
      <c r="B894" s="6">
        <v>251224.0</v>
      </c>
      <c r="C894" s="4"/>
      <c r="D894" s="7" t="s">
        <v>1697</v>
      </c>
      <c r="E894" s="8" t="str">
        <f>IFERROR(__xludf.DUMMYFUNCTION("IF(
  LEN(TRIM(D894))=0,
  ""왼쪽에 영어 문장을 입력하세요"",
  GOOGLETRANSLATE(D894,""en"",""ko"")
)"),"일상")</f>
        <v>일상</v>
      </c>
      <c r="F894" s="9" t="s">
        <v>1698</v>
      </c>
    </row>
    <row r="895" ht="20.25" customHeight="1">
      <c r="A895" s="5">
        <v>961.0</v>
      </c>
      <c r="B895" s="6">
        <v>251224.0</v>
      </c>
      <c r="C895" s="4"/>
      <c r="D895" s="7" t="s">
        <v>1699</v>
      </c>
      <c r="E895" s="8" t="str">
        <f>IFERROR(__xludf.DUMMYFUNCTION("IF(
  LEN(TRIM(D895))=0,
  ""왼쪽에 영어 문장을 입력하세요"",
  GOOGLETRANSLATE(D895,""en"",""ko"")
)"),"어젯밤 태국 음식은 특별히 맛있다고 할 만한 건 아니었어요.")</f>
        <v>어젯밤 태국 음식은 특별히 맛있다고 할 만한 건 아니었어요.</v>
      </c>
      <c r="F895" s="9" t="s">
        <v>1700</v>
      </c>
    </row>
    <row r="896" ht="20.25" customHeight="1">
      <c r="A896" s="5">
        <v>962.0</v>
      </c>
      <c r="B896" s="6">
        <v>251224.0</v>
      </c>
      <c r="C896" s="4"/>
      <c r="D896" s="7" t="s">
        <v>1701</v>
      </c>
      <c r="E896" s="8" t="str">
        <f>IFERROR(__xludf.DUMMYFUNCTION("IF(
  LEN(TRIM(D896))=0,
  ""왼쪽에 영어 문장을 입력하세요"",
  GOOGLETRANSLATE(D896,""en"",""ko"")
)"),"특별히 언급할 만한 것은 없다")</f>
        <v>특별히 언급할 만한 것은 없다</v>
      </c>
      <c r="F896" s="9" t="s">
        <v>1702</v>
      </c>
    </row>
    <row r="897" ht="20.25" customHeight="1">
      <c r="A897" s="5">
        <v>963.0</v>
      </c>
      <c r="B897" s="6">
        <v>251224.0</v>
      </c>
      <c r="C897" s="4"/>
      <c r="D897" s="7" t="s">
        <v>1703</v>
      </c>
      <c r="E897" s="8" t="str">
        <f>IFERROR(__xludf.DUMMYFUNCTION("IF(
  LEN(TRIM(D897))=0,
  ""왼쪽에 영어 문장을 입력하세요"",
  GOOGLETRANSLATE(D897,""en"",""ko"")
)"),"그녀의 목소리는 완벽해 보입니다.")</f>
        <v>그녀의 목소리는 완벽해 보입니다.</v>
      </c>
      <c r="F897" s="9" t="s">
        <v>1704</v>
      </c>
    </row>
    <row r="898" ht="20.25" customHeight="1">
      <c r="A898" s="5">
        <v>964.0</v>
      </c>
      <c r="B898" s="6">
        <v>251224.0</v>
      </c>
      <c r="C898" s="4"/>
      <c r="D898" s="7" t="s">
        <v>1705</v>
      </c>
      <c r="E898" s="8" t="str">
        <f>IFERROR(__xludf.DUMMYFUNCTION("IF(
  LEN(TRIM(D898))=0,
  ""왼쪽에 영어 문장을 입력하세요"",
  GOOGLETRANSLATE(D898,""en"",""ko"")
)"),"아이들은 혈압을 높일 수 있어요. 너무 시끄럽거든요.")</f>
        <v>아이들은 혈압을 높일 수 있어요. 너무 시끄럽거든요.</v>
      </c>
      <c r="F898" s="9" t="s">
        <v>1706</v>
      </c>
    </row>
    <row r="899" ht="20.25" customHeight="1">
      <c r="A899" s="5">
        <v>965.0</v>
      </c>
      <c r="B899" s="6">
        <v>251224.0</v>
      </c>
      <c r="C899" s="4"/>
      <c r="D899" s="7" t="s">
        <v>1707</v>
      </c>
      <c r="E899" s="8" t="str">
        <f>IFERROR(__xludf.DUMMYFUNCTION("IF(
  LEN(TRIM(D899))=0,
  ""왼쪽에 영어 문장을 입력하세요"",
  GOOGLETRANSLATE(D899,""en"",""ko"")
)"),"나는 내 친구가 했던 거짓말을 낱낱이 폭로했다.")</f>
        <v>나는 내 친구가 했던 거짓말을 낱낱이 폭로했다.</v>
      </c>
      <c r="F899" s="9" t="s">
        <v>1708</v>
      </c>
    </row>
    <row r="900" ht="20.25" customHeight="1">
      <c r="A900" s="5">
        <v>966.0</v>
      </c>
      <c r="B900" s="6">
        <v>251224.0</v>
      </c>
      <c r="C900" s="4"/>
      <c r="D900" s="7" t="s">
        <v>1709</v>
      </c>
      <c r="E900" s="8" t="str">
        <f>IFERROR(__xludf.DUMMYFUNCTION("IF(
  LEN(TRIM(D900))=0,
  ""왼쪽에 영어 문장을 입력하세요"",
  GOOGLETRANSLATE(D900,""en"",""ko"")
)"),"드러내다")</f>
        <v>드러내다</v>
      </c>
      <c r="F900" s="9" t="s">
        <v>1710</v>
      </c>
    </row>
    <row r="901" ht="20.25" customHeight="1">
      <c r="A901" s="5">
        <v>967.0</v>
      </c>
      <c r="B901" s="6">
        <v>251224.0</v>
      </c>
      <c r="C901" s="4"/>
      <c r="D901" s="7" t="s">
        <v>1711</v>
      </c>
      <c r="E901" s="8" t="str">
        <f>IFERROR(__xludf.DUMMYFUNCTION("IF(
  LEN(TRIM(D901))=0,
  ""왼쪽에 영어 문장을 입력하세요"",
  GOOGLETRANSLATE(D901,""en"",""ko"")
)"),"내년에는 좀 숨 돌릴 틈이 있었으면 좋겠어요.")</f>
        <v>내년에는 좀 숨 돌릴 틈이 있었으면 좋겠어요.</v>
      </c>
      <c r="F901" s="9" t="s">
        <v>1712</v>
      </c>
    </row>
    <row r="902" ht="20.25" customHeight="1">
      <c r="A902" s="5">
        <v>968.0</v>
      </c>
      <c r="B902" s="6">
        <v>251224.0</v>
      </c>
      <c r="C902" s="4"/>
      <c r="D902" s="7" t="s">
        <v>1713</v>
      </c>
      <c r="E902" s="8" t="str">
        <f>IFERROR(__xludf.DUMMYFUNCTION("IF(
  LEN(TRIM(D902))=0,
  ""왼쪽에 영어 문장을 입력하세요"",
  GOOGLETRANSLATE(D902,""en"",""ko"")
)"),"누군가를 몹시 좋아하게 되다")</f>
        <v>누군가를 몹시 좋아하게 되다</v>
      </c>
      <c r="F902" s="9" t="s">
        <v>1714</v>
      </c>
    </row>
    <row r="903" ht="20.25" customHeight="1">
      <c r="A903" s="5">
        <v>969.0</v>
      </c>
      <c r="B903" s="6">
        <v>251224.0</v>
      </c>
      <c r="C903" s="4"/>
      <c r="D903" s="7" t="s">
        <v>1715</v>
      </c>
      <c r="E903" s="8" t="str">
        <f>IFERROR(__xludf.DUMMYFUNCTION("IF(
  LEN(TRIM(D903))=0,
  ""왼쪽에 영어 문장을 입력하세요"",
  GOOGLETRANSLATE(D903,""en"",""ko"")
)"),"너 걔한테 푹 빠졌구나")</f>
        <v>너 걔한테 푹 빠졌구나</v>
      </c>
      <c r="F903" s="9" t="s">
        <v>1716</v>
      </c>
    </row>
    <row r="904">
      <c r="A904" s="5">
        <v>970.0</v>
      </c>
      <c r="B904" s="6">
        <v>251224.0</v>
      </c>
      <c r="C904" s="4"/>
      <c r="D904" s="7" t="s">
        <v>1717</v>
      </c>
      <c r="E904" s="8" t="str">
        <f>IFERROR(__xludf.DUMMYFUNCTION("IF(
  LEN(TRIM(D904))=0,
  ""왼쪽에 영어 문장을 입력하세요"",
  GOOGLETRANSLATE(D904,""en"",""ko"")
)"),"영원한 질문이 있습니다. 당신은 낙관주의자입니까?
당신은 잔이 반쯤 차 있다고 봅니까, 아니면 반쯤 비어 있다고 봅니까?
당신은 잔을 반쯤 차 있다고 봅니까, 아니면 반쯤 비어 있다고 봅니까?")</f>
        <v>영원한 질문이 있습니다. 당신은 낙관주의자입니까?
당신은 잔이 반쯤 차 있다고 봅니까, 아니면 반쯤 비어 있다고 봅니까?
당신은 잔을 반쯤 차 있다고 봅니까, 아니면 반쯤 비어 있다고 봅니까?</v>
      </c>
      <c r="F904" s="9" t="s">
        <v>1718</v>
      </c>
    </row>
    <row r="905" ht="20.25" customHeight="1">
      <c r="A905" s="5">
        <v>971.0</v>
      </c>
      <c r="B905" s="6">
        <v>251224.0</v>
      </c>
      <c r="C905" s="4"/>
      <c r="D905" s="7" t="s">
        <v>1719</v>
      </c>
      <c r="E905" s="8" t="str">
        <f>IFERROR(__xludf.DUMMYFUNCTION("IF(
  LEN(TRIM(D905))=0,
  ""왼쪽에 영어 문장을 입력하세요"",
  GOOGLETRANSLATE(D905,""en"",""ko"")
)"),"제 새 직장은 천생연분이에요.")</f>
        <v>제 새 직장은 천생연분이에요.</v>
      </c>
      <c r="F905" s="9" t="s">
        <v>1720</v>
      </c>
    </row>
    <row r="906" ht="20.25" customHeight="1">
      <c r="A906" s="5">
        <v>972.0</v>
      </c>
      <c r="B906" s="6">
        <v>251224.0</v>
      </c>
      <c r="C906" s="4"/>
      <c r="D906" s="7" t="s">
        <v>1721</v>
      </c>
      <c r="E906" s="8" t="str">
        <f>IFERROR(__xludf.DUMMYFUNCTION("IF(
  LEN(TRIM(D906))=0,
  ""왼쪽에 영어 문장을 입력하세요"",
  GOOGLETRANSLATE(D906,""en"",""ko"")
)"),"그들은 천생연분이에요")</f>
        <v>그들은 천생연분이에요</v>
      </c>
      <c r="F906" s="9" t="s">
        <v>1722</v>
      </c>
    </row>
    <row r="907">
      <c r="A907" s="5">
        <v>973.0</v>
      </c>
      <c r="B907" s="6">
        <v>251224.0</v>
      </c>
      <c r="C907" s="4"/>
      <c r="D907" s="7" t="s">
        <v>1723</v>
      </c>
      <c r="E907" s="8" t="str">
        <f>IFERROR(__xludf.DUMMYFUNCTION("IF(
  LEN(TRIM(D907))=0,
  ""왼쪽에 영어 문장을 입력하세요"",
  GOOGLETRANSLATE(D907,""en"",""ko"")
)"),"정말 그래요. 두려움 때문에 놓치는 기회가 너무 많죠.
어떤 위험도 감수하고 싶지 않잖아요.")</f>
        <v>정말 그래요. 두려움 때문에 놓치는 기회가 너무 많죠.
어떤 위험도 감수하고 싶지 않잖아요.</v>
      </c>
      <c r="F907" s="9" t="s">
        <v>1724</v>
      </c>
    </row>
    <row r="908" ht="20.25" customHeight="1">
      <c r="A908" s="5">
        <v>974.0</v>
      </c>
      <c r="B908" s="6">
        <v>251224.0</v>
      </c>
      <c r="C908" s="4"/>
      <c r="D908" s="7" t="s">
        <v>1725</v>
      </c>
      <c r="E908" s="8" t="str">
        <f>IFERROR(__xludf.DUMMYFUNCTION("IF(
  LEN(TRIM(D908))=0,
  ""왼쪽에 영어 문장을 입력하세요"",
  GOOGLETRANSLATE(D908,""en"",""ko"")
)"),"두려움이 당신의 앞길을 막지 못하게 하세요")</f>
        <v>두려움이 당신의 앞길을 막지 못하게 하세요</v>
      </c>
      <c r="F908" s="9" t="s">
        <v>1726</v>
      </c>
    </row>
    <row r="909" ht="20.25" customHeight="1">
      <c r="A909" s="5">
        <v>975.0</v>
      </c>
      <c r="B909" s="6">
        <v>251224.0</v>
      </c>
      <c r="C909" s="4"/>
      <c r="D909" s="7" t="s">
        <v>1727</v>
      </c>
      <c r="E909" s="8" t="str">
        <f>IFERROR(__xludf.DUMMYFUNCTION("IF(
  LEN(TRIM(D909))=0,
  ""왼쪽에 영어 문장을 입력하세요"",
  GOOGLETRANSLATE(D909,""en"",""ko"")
)"),"방해하지 마세요")</f>
        <v>방해하지 마세요</v>
      </c>
      <c r="F909" s="9" t="s">
        <v>1728</v>
      </c>
    </row>
    <row r="910" ht="20.25" customHeight="1">
      <c r="A910" s="5">
        <v>976.0</v>
      </c>
      <c r="B910" s="6">
        <v>251224.0</v>
      </c>
      <c r="C910" s="4"/>
      <c r="D910" s="7" t="s">
        <v>1729</v>
      </c>
      <c r="E910" s="8" t="str">
        <f>IFERROR(__xludf.DUMMYFUNCTION("IF(
  LEN(TRIM(D910))=0,
  ""왼쪽에 영어 문장을 입력하세요"",
  GOOGLETRANSLATE(D910,""en"",""ko"")
)"),"그 영화는 별다른 반전이 없는 평범한 로맨틱 코미디였다.")</f>
        <v>그 영화는 별다른 반전이 없는 평범한 로맨틱 코미디였다.</v>
      </c>
      <c r="F910" s="9" t="s">
        <v>1730</v>
      </c>
    </row>
    <row r="911" ht="20.25" customHeight="1">
      <c r="A911" s="5">
        <v>977.0</v>
      </c>
      <c r="B911" s="6">
        <v>251224.0</v>
      </c>
      <c r="C911" s="4"/>
      <c r="D911" s="7" t="s">
        <v>1731</v>
      </c>
      <c r="E911" s="8" t="str">
        <f>IFERROR(__xludf.DUMMYFUNCTION("IF(
  LEN(TRIM(D911))=0,
  ""왼쪽에 영어 문장을 입력하세요"",
  GOOGLETRANSLATE(D911,""en"",""ko"")
)"),"평범한")</f>
        <v>평범한</v>
      </c>
      <c r="F911" s="9" t="s">
        <v>1732</v>
      </c>
    </row>
    <row r="912" ht="20.25" customHeight="1">
      <c r="A912" s="5">
        <v>978.0</v>
      </c>
      <c r="B912" s="6">
        <v>251224.0</v>
      </c>
      <c r="C912" s="4"/>
      <c r="D912" s="7" t="s">
        <v>1733</v>
      </c>
      <c r="E912" s="8" t="str">
        <f>IFERROR(__xludf.DUMMYFUNCTION("IF(
  LEN(TRIM(D912))=0,
  ""왼쪽에 영어 문장을 입력하세요"",
  GOOGLETRANSLATE(D912,""en"",""ko"")
)"),"처음엔 평범한 식당처럼 보였지만, 디저트가 정말 훌륭했어요.")</f>
        <v>처음엔 평범한 식당처럼 보였지만, 디저트가 정말 훌륭했어요.</v>
      </c>
      <c r="F912" s="9" t="s">
        <v>1734</v>
      </c>
    </row>
    <row r="913" ht="20.25" customHeight="1">
      <c r="A913" s="5">
        <v>979.0</v>
      </c>
      <c r="B913" s="6">
        <v>251224.0</v>
      </c>
      <c r="C913" s="4"/>
      <c r="D913" s="7" t="s">
        <v>1735</v>
      </c>
      <c r="E913" s="8" t="str">
        <f>IFERROR(__xludf.DUMMYFUNCTION("IF(
  LEN(TRIM(D913))=0,
  ""왼쪽에 영어 문장을 입력하세요"",
  GOOGLETRANSLATE(D913,""en"",""ko"")
)"),"움직이게 하다")</f>
        <v>움직이게 하다</v>
      </c>
      <c r="F913" s="9" t="s">
        <v>1736</v>
      </c>
    </row>
    <row r="914" ht="20.25" customHeight="1">
      <c r="A914" s="5">
        <v>980.0</v>
      </c>
      <c r="B914" s="6">
        <v>251224.0</v>
      </c>
      <c r="C914" s="4"/>
      <c r="D914" s="7" t="s">
        <v>1737</v>
      </c>
      <c r="E914" s="8" t="str">
        <f>IFERROR(__xludf.DUMMYFUNCTION("IF(
  LEN(TRIM(D914))=0,
  ""왼쪽에 영어 문장을 입력하세요"",
  GOOGLETRANSLATE(D914,""en"",""ko"")
)"),"슬픔을 다루는 방법")</f>
        <v>슬픔을 다루는 방법</v>
      </c>
      <c r="F914" s="9" t="s">
        <v>1738</v>
      </c>
    </row>
    <row r="915" ht="20.25" customHeight="1">
      <c r="A915" s="5">
        <v>981.0</v>
      </c>
      <c r="B915" s="6">
        <v>251224.0</v>
      </c>
      <c r="C915" s="4"/>
      <c r="D915" s="7" t="s">
        <v>1739</v>
      </c>
      <c r="E915" s="8" t="str">
        <f>IFERROR(__xludf.DUMMYFUNCTION("IF(
  LEN(TRIM(D915))=0,
  ""왼쪽에 영어 문장을 입력하세요"",
  GOOGLETRANSLATE(D915,""en"",""ko"")
)"),"아직도 목이 메이네요.")</f>
        <v>아직도 목이 메이네요.</v>
      </c>
      <c r="F915" s="9" t="s">
        <v>1740</v>
      </c>
    </row>
    <row r="916" ht="20.25" customHeight="1">
      <c r="A916" s="5">
        <v>982.0</v>
      </c>
      <c r="B916" s="6">
        <v>251224.0</v>
      </c>
      <c r="C916" s="4"/>
      <c r="D916" s="7" t="s">
        <v>1741</v>
      </c>
      <c r="E916" s="8" t="str">
        <f>IFERROR(__xludf.DUMMYFUNCTION("IF(
  LEN(TRIM(D916))=0,
  ""왼쪽에 영어 문장을 입력하세요"",
  GOOGLETRANSLATE(D916,""en"",""ko"")
)"),"새벽이 내게")</f>
        <v>새벽이 내게</v>
      </c>
      <c r="F916" s="9" t="s">
        <v>1742</v>
      </c>
    </row>
    <row r="917" ht="20.25" customHeight="1">
      <c r="A917" s="5">
        <v>983.0</v>
      </c>
      <c r="B917" s="6">
        <v>251224.0</v>
      </c>
      <c r="C917" s="4"/>
      <c r="D917" s="7" t="s">
        <v>1743</v>
      </c>
      <c r="E917" s="8" t="str">
        <f>IFERROR(__xludf.DUMMYFUNCTION("IF(
  LEN(TRIM(D917))=0,
  ""왼쪽에 영어 문장을 입력하세요"",
  GOOGLETRANSLATE(D917,""en"",""ko"")
)"),"갑자기 비행기표 예매를 깜빡했다는 사실이 떠올랐다.")</f>
        <v>갑자기 비행기표 예매를 깜빡했다는 사실이 떠올랐다.</v>
      </c>
      <c r="F917" s="9" t="s">
        <v>1744</v>
      </c>
    </row>
    <row r="918" ht="20.25" customHeight="1">
      <c r="A918" s="5">
        <v>984.0</v>
      </c>
      <c r="B918" s="6">
        <v>251224.0</v>
      </c>
      <c r="C918" s="4"/>
      <c r="D918" s="7" t="s">
        <v>1745</v>
      </c>
      <c r="E918" s="8" t="str">
        <f>IFERROR(__xludf.DUMMYFUNCTION("IF(
  LEN(TRIM(D918))=0,
  ""왼쪽에 영어 문장을 입력하세요"",
  GOOGLETRANSLATE(D918,""en"",""ko"")
)"),"전력을 다하다")</f>
        <v>전력을 다하다</v>
      </c>
      <c r="F918" s="9" t="s">
        <v>1746</v>
      </c>
    </row>
    <row r="919" ht="20.25" customHeight="1">
      <c r="A919" s="5">
        <v>985.0</v>
      </c>
      <c r="B919" s="6">
        <v>251224.0</v>
      </c>
      <c r="C919" s="4"/>
      <c r="D919" s="7" t="s">
        <v>1747</v>
      </c>
      <c r="E919" s="8" t="str">
        <f>IFERROR(__xludf.DUMMYFUNCTION("IF(
  LEN(TRIM(D919))=0,
  ""왼쪽에 영어 문장을 입력하세요"",
  GOOGLETRANSLATE(D919,""en"",""ko"")
)"),"우리 팀은 오늘 우승을 위해 모든 힘을 다했습니다.")</f>
        <v>우리 팀은 오늘 우승을 위해 모든 힘을 다했습니다.</v>
      </c>
      <c r="F919" s="9" t="s">
        <v>1748</v>
      </c>
    </row>
    <row r="920" ht="20.25" customHeight="1">
      <c r="A920" s="5">
        <v>986.0</v>
      </c>
      <c r="B920" s="6">
        <v>251224.0</v>
      </c>
      <c r="C920" s="4"/>
      <c r="D920" s="7" t="s">
        <v>1749</v>
      </c>
      <c r="E920" s="8" t="str">
        <f>IFERROR(__xludf.DUMMYFUNCTION("IF(
  LEN(TRIM(D920))=0,
  ""왼쪽에 영어 문장을 입력하세요"",
  GOOGLETRANSLATE(D920,""en"",""ko"")
)"),"허리를 삐끗하다")</f>
        <v>허리를 삐끗하다</v>
      </c>
      <c r="F920" s="9" t="s">
        <v>1750</v>
      </c>
    </row>
    <row r="921" ht="20.25" customHeight="1">
      <c r="A921" s="5">
        <v>987.0</v>
      </c>
      <c r="B921" s="6">
        <v>251224.0</v>
      </c>
      <c r="C921" s="4"/>
      <c r="D921" s="7" t="s">
        <v>1751</v>
      </c>
      <c r="E921" s="8" t="str">
        <f>IFERROR(__xludf.DUMMYFUNCTION("IF(
  LEN(TRIM(D921))=0,
  ""왼쪽에 영어 문장을 입력하세요"",
  GOOGLETRANSLATE(D921,""en"",""ko"")
)"),"존은 무거운 상자를 들다가 허리를 삐끗했다.")</f>
        <v>존은 무거운 상자를 들다가 허리를 삐끗했다.</v>
      </c>
      <c r="F921" s="9" t="s">
        <v>1752</v>
      </c>
    </row>
    <row r="922" ht="20.25" customHeight="1">
      <c r="A922" s="5">
        <v>988.0</v>
      </c>
      <c r="B922" s="6">
        <v>251224.0</v>
      </c>
      <c r="C922" s="4"/>
      <c r="D922" s="7" t="s">
        <v>1753</v>
      </c>
      <c r="E922" s="8" t="str">
        <f>IFERROR(__xludf.DUMMYFUNCTION("IF(
  LEN(TRIM(D922))=0,
  ""왼쪽에 영어 문장을 입력하세요"",
  GOOGLETRANSLATE(D922,""en"",""ko"")
)"),"왜 그렇게 화가 났어? 발가락을 찧었을 뿐이야.")</f>
        <v>왜 그렇게 화가 났어? 발가락을 찧었을 뿐이야.</v>
      </c>
      <c r="F922" s="9" t="s">
        <v>1754</v>
      </c>
    </row>
    <row r="923" ht="20.25" customHeight="1">
      <c r="A923" s="5">
        <v>989.0</v>
      </c>
      <c r="B923" s="6">
        <v>251224.0</v>
      </c>
      <c r="C923" s="4"/>
      <c r="D923" s="7" t="s">
        <v>1755</v>
      </c>
      <c r="E923" s="8" t="str">
        <f>IFERROR(__xludf.DUMMYFUNCTION("IF(
  LEN(TRIM(D923))=0,
  ""왼쪽에 영어 문장을 입력하세요"",
  GOOGLETRANSLATE(D923,""en"",""ko"")
)"),"손님을 위해 레모네이드 좀 만들어 주시겠어요?")</f>
        <v>손님을 위해 레모네이드 좀 만들어 주시겠어요?</v>
      </c>
      <c r="F923" s="9" t="s">
        <v>1756</v>
      </c>
    </row>
    <row r="924" ht="20.25" customHeight="1">
      <c r="A924" s="5">
        <v>990.0</v>
      </c>
      <c r="B924" s="6">
        <v>251224.0</v>
      </c>
      <c r="C924" s="4"/>
      <c r="D924" s="7" t="s">
        <v>1757</v>
      </c>
      <c r="E924" s="8" t="str">
        <f>IFERROR(__xludf.DUMMYFUNCTION("IF(
  LEN(TRIM(D924))=0,
  ""왼쪽에 영어 문장을 입력하세요"",
  GOOGLETRANSLATE(D924,""en"",""ko"")
)"),"휘젓다 ~")</f>
        <v>휘젓다 ~</v>
      </c>
      <c r="F924" s="9" t="s">
        <v>1758</v>
      </c>
    </row>
    <row r="925" ht="20.25" customHeight="1">
      <c r="A925" s="5">
        <v>991.0</v>
      </c>
      <c r="B925" s="6">
        <v>251224.0</v>
      </c>
      <c r="C925" s="4"/>
      <c r="D925" s="7" t="s">
        <v>1759</v>
      </c>
      <c r="E925" s="8" t="str">
        <f>IFERROR(__xludf.DUMMYFUNCTION("IF(
  LEN(TRIM(D925))=0,
  ""왼쪽에 영어 문장을 입력하세요"",
  GOOGLETRANSLATE(D925,""en"",""ko"")
)"),"그는 회의를 위해 간단한 프레젠테이션을 급하게 준비했다.")</f>
        <v>그는 회의를 위해 간단한 프레젠테이션을 급하게 준비했다.</v>
      </c>
      <c r="F925" s="9" t="s">
        <v>1760</v>
      </c>
    </row>
    <row r="926" ht="20.25" customHeight="1">
      <c r="A926" s="5">
        <v>992.0</v>
      </c>
      <c r="B926" s="6">
        <v>251224.0</v>
      </c>
      <c r="C926" s="4"/>
      <c r="D926" s="7" t="s">
        <v>1761</v>
      </c>
      <c r="E926" s="8" t="str">
        <f>IFERROR(__xludf.DUMMYFUNCTION("IF(
  LEN(TRIM(D926))=0,
  ""왼쪽에 영어 문장을 입력하세요"",
  GOOGLETRANSLATE(D926,""en"",""ko"")
)"),"엠마는 에세이 대회에서 우승했을 때 너무나 기뻤다.")</f>
        <v>엠마는 에세이 대회에서 우승했을 때 너무나 기뻤다.</v>
      </c>
      <c r="F926" s="9" t="s">
        <v>1762</v>
      </c>
    </row>
    <row r="927" ht="20.25" customHeight="1">
      <c r="A927" s="5">
        <v>993.0</v>
      </c>
      <c r="B927" s="6">
        <v>251224.0</v>
      </c>
      <c r="C927" s="4"/>
      <c r="D927" s="7" t="s">
        <v>1763</v>
      </c>
      <c r="E927" s="8" t="str">
        <f>IFERROR(__xludf.DUMMYFUNCTION("IF(
  LEN(TRIM(D927))=0,
  ""왼쪽에 영어 문장을 입력하세요"",
  GOOGLETRANSLATE(D927,""en"",""ko"")
)"),"아주 만족스러워요")</f>
        <v>아주 만족스러워요</v>
      </c>
      <c r="F927" s="9" t="s">
        <v>1764</v>
      </c>
    </row>
    <row r="928" ht="20.25" customHeight="1">
      <c r="A928" s="5">
        <v>994.0</v>
      </c>
      <c r="B928" s="6">
        <v>251224.0</v>
      </c>
      <c r="C928" s="4"/>
      <c r="D928" s="7" t="s">
        <v>1765</v>
      </c>
      <c r="E928" s="8" t="str">
        <f>IFERROR(__xludf.DUMMYFUNCTION("IF(
  LEN(TRIM(D928))=0,
  ""왼쪽에 영어 문장을 입력하세요"",
  GOOGLETRANSLATE(D928,""en"",""ko"")
)"),"나는 손놀림이 빠르다")</f>
        <v>나는 손놀림이 빠르다</v>
      </c>
      <c r="F928" s="9" t="s">
        <v>1766</v>
      </c>
    </row>
    <row r="929" ht="20.25" customHeight="1">
      <c r="A929" s="5">
        <v>995.0</v>
      </c>
      <c r="B929" s="6">
        <v>251224.0</v>
      </c>
      <c r="C929" s="4"/>
      <c r="D929" s="7" t="s">
        <v>1767</v>
      </c>
      <c r="E929" s="8" t="str">
        <f>IFERROR(__xludf.DUMMYFUNCTION("IF(
  LEN(TRIM(D929))=0,
  ""왼쪽에 영어 문장을 입력하세요"",
  GOOGLETRANSLATE(D929,""en"",""ko"")
)"),"내 전성기 시절에")</f>
        <v>내 전성기 시절에</v>
      </c>
      <c r="F929" s="9" t="s">
        <v>1768</v>
      </c>
    </row>
    <row r="930">
      <c r="A930" s="5">
        <v>996.0</v>
      </c>
      <c r="B930" s="6">
        <v>251224.0</v>
      </c>
      <c r="C930" s="4"/>
      <c r="D930" s="7" t="s">
        <v>1769</v>
      </c>
      <c r="E930" s="8" t="str">
        <f>IFERROR(__xludf.DUMMYFUNCTION("IF(
  LEN(TRIM(D930))=0,
  ""왼쪽에 영어 문장을 입력하세요"",
  GOOGLETRANSLATE(D930,""en"",""ko"")
)"),"전성기 시절엔 제가 학교에서 제일 빠른 단거리 선수였어요.
그건 30년 전 얘기고, 지금은 차까지 걸어가는 데도 숨이 차네요.")</f>
        <v>전성기 시절엔 제가 학교에서 제일 빠른 단거리 선수였어요.
그건 30년 전 얘기고, 지금은 차까지 걸어가는 데도 숨이 차네요.</v>
      </c>
      <c r="F930" s="9" t="s">
        <v>1770</v>
      </c>
    </row>
    <row r="931" ht="20.25" customHeight="1">
      <c r="A931" s="5">
        <v>997.0</v>
      </c>
      <c r="B931" s="6">
        <v>251224.0</v>
      </c>
      <c r="C931" s="4"/>
      <c r="D931" s="7" t="s">
        <v>1771</v>
      </c>
      <c r="E931" s="8" t="str">
        <f>IFERROR(__xludf.DUMMYFUNCTION("IF(
  LEN(TRIM(D931))=0,
  ""왼쪽에 영어 문장을 입력하세요"",
  GOOGLETRANSLATE(D931,""en"",""ko"")
)"),"피망")</f>
        <v>피망</v>
      </c>
      <c r="F931" s="9" t="s">
        <v>1772</v>
      </c>
    </row>
    <row r="932" ht="20.25" customHeight="1">
      <c r="A932" s="5">
        <v>998.0</v>
      </c>
      <c r="B932" s="6">
        <v>251224.0</v>
      </c>
      <c r="C932" s="4"/>
      <c r="D932" s="7" t="s">
        <v>1773</v>
      </c>
      <c r="E932" s="8" t="str">
        <f>IFERROR(__xludf.DUMMYFUNCTION("IF(
  LEN(TRIM(D932))=0,
  ""왼쪽에 영어 문장을 입력하세요"",
  GOOGLETRANSLATE(D932,""en"",""ko"")
)"),"코로")</f>
        <v>코로</v>
      </c>
      <c r="F932" s="9" t="s">
        <v>1774</v>
      </c>
    </row>
    <row r="933" ht="20.25" customHeight="1">
      <c r="A933" s="5">
        <v>999.0</v>
      </c>
      <c r="B933" s="6">
        <v>251224.0</v>
      </c>
      <c r="C933" s="4"/>
      <c r="D933" s="7" t="s">
        <v>1775</v>
      </c>
      <c r="E933" s="8" t="str">
        <f>IFERROR(__xludf.DUMMYFUNCTION("IF(
  LEN(TRIM(D933))=0,
  ""왼쪽에 영어 문장을 입력하세요"",
  GOOGLETRANSLATE(D933,""en"",""ko"")
)"),"액자")</f>
        <v>액자</v>
      </c>
      <c r="F933" s="9" t="s">
        <v>1776</v>
      </c>
    </row>
    <row r="934" ht="20.25" customHeight="1">
      <c r="A934" s="5">
        <v>1000.0</v>
      </c>
      <c r="B934" s="6">
        <v>251224.0</v>
      </c>
      <c r="C934" s="4"/>
      <c r="D934" s="7" t="s">
        <v>1777</v>
      </c>
      <c r="E934" s="8" t="str">
        <f>IFERROR(__xludf.DUMMYFUNCTION("IF(
  LEN(TRIM(D934))=0,
  ""왼쪽에 영어 문장을 입력하세요"",
  GOOGLETRANSLATE(D934,""en"",""ko"")
)"),"배신")</f>
        <v>배신</v>
      </c>
      <c r="F934" s="9" t="s">
        <v>1778</v>
      </c>
    </row>
    <row r="935" ht="20.25" customHeight="1">
      <c r="A935" s="5">
        <v>1001.0</v>
      </c>
      <c r="B935" s="6">
        <v>251224.0</v>
      </c>
      <c r="C935" s="4"/>
      <c r="D935" s="7" t="s">
        <v>1779</v>
      </c>
      <c r="E935" s="8" t="str">
        <f>IFERROR(__xludf.DUMMYFUNCTION("IF(
  LEN(TRIM(D935))=0,
  ""왼쪽에 영어 문장을 입력하세요"",
  GOOGLETRANSLATE(D935,""en"",""ko"")
)"),"좋았겠네요")</f>
        <v>좋았겠네요</v>
      </c>
      <c r="F935" s="9" t="s">
        <v>1780</v>
      </c>
    </row>
    <row r="936" ht="20.25" customHeight="1">
      <c r="A936" s="5">
        <v>1002.0</v>
      </c>
      <c r="B936" s="6">
        <v>251224.0</v>
      </c>
      <c r="C936" s="4"/>
      <c r="D936" s="7" t="s">
        <v>1781</v>
      </c>
      <c r="E936" s="8" t="str">
        <f>IFERROR(__xludf.DUMMYFUNCTION("IF(
  LEN(TRIM(D936))=0,
  ""왼쪽에 영어 문장을 입력하세요"",
  GOOGLETRANSLATE(D936,""en"",""ko"")
)"),"정말 힘들었겠네요.")</f>
        <v>정말 힘들었겠네요.</v>
      </c>
      <c r="F936" s="9" t="s">
        <v>1782</v>
      </c>
    </row>
    <row r="937" ht="20.25" customHeight="1">
      <c r="A937" s="5">
        <v>1003.0</v>
      </c>
      <c r="B937" s="6">
        <v>251224.0</v>
      </c>
      <c r="C937" s="4"/>
      <c r="D937" s="7" t="s">
        <v>1783</v>
      </c>
      <c r="E937" s="8" t="str">
        <f>IFERROR(__xludf.DUMMYFUNCTION("IF(
  LEN(TRIM(D937))=0,
  ""왼쪽에 영어 문장을 입력하세요"",
  GOOGLETRANSLATE(D937,""en"",""ko"")
)"),"고통은 파도처럼 밀려온다")</f>
        <v>고통은 파도처럼 밀려온다</v>
      </c>
      <c r="F937" s="9" t="s">
        <v>1784</v>
      </c>
    </row>
    <row r="938" ht="20.25" customHeight="1">
      <c r="A938" s="5">
        <v>1004.0</v>
      </c>
      <c r="B938" s="6">
        <v>251224.0</v>
      </c>
      <c r="C938" s="4"/>
      <c r="D938" s="7" t="s">
        <v>1785</v>
      </c>
      <c r="E938" s="8" t="str">
        <f>IFERROR(__xludf.DUMMYFUNCTION("IF(
  LEN(TRIM(D938))=0,
  ""왼쪽에 영어 문장을 입력하세요"",
  GOOGLETRANSLATE(D938,""en"",""ko"")
)"),"행복은 파도처럼 밀려오지만, 소소한 순간들을 소중히 여기는 것이 중요합니다.")</f>
        <v>행복은 파도처럼 밀려오지만, 소소한 순간들을 소중히 여기는 것이 중요합니다.</v>
      </c>
      <c r="F938" s="9" t="s">
        <v>1786</v>
      </c>
    </row>
    <row r="939" ht="20.25" customHeight="1">
      <c r="A939" s="5">
        <v>1005.0</v>
      </c>
      <c r="B939" s="6">
        <v>251224.0</v>
      </c>
      <c r="C939" s="4"/>
      <c r="D939" s="7" t="s">
        <v>1787</v>
      </c>
      <c r="E939" s="8" t="str">
        <f>IFERROR(__xludf.DUMMYFUNCTION("IF(
  LEN(TRIM(D939))=0,
  ""왼쪽에 영어 문장을 입력하세요"",
  GOOGLETRANSLATE(D939,""en"",""ko"")
)"),"살살 대해줘")</f>
        <v>살살 대해줘</v>
      </c>
      <c r="F939" s="9" t="s">
        <v>1788</v>
      </c>
    </row>
    <row r="940" ht="20.25" customHeight="1">
      <c r="A940" s="5">
        <v>1006.0</v>
      </c>
      <c r="B940" s="6">
        <v>251224.0</v>
      </c>
      <c r="C940" s="4"/>
      <c r="D940" s="7" t="s">
        <v>1789</v>
      </c>
      <c r="E940" s="8" t="str">
        <f>IFERROR(__xludf.DUMMYFUNCTION("IF(
  LEN(TRIM(D940))=0,
  ""왼쪽에 영어 문장을 입력하세요"",
  GOOGLETRANSLATE(D940,""en"",""ko"")
)"),"소금/양파/얼음은 조금만 넣으세요")</f>
        <v>소금/양파/얼음은 조금만 넣으세요</v>
      </c>
      <c r="F940" s="9" t="s">
        <v>1790</v>
      </c>
    </row>
    <row r="941" ht="20.25" customHeight="1">
      <c r="A941" s="5">
        <v>1007.0</v>
      </c>
      <c r="B941" s="6">
        <v>251224.0</v>
      </c>
      <c r="C941" s="4"/>
      <c r="D941" s="7" t="s">
        <v>1791</v>
      </c>
      <c r="E941" s="8" t="str">
        <f>IFERROR(__xludf.DUMMYFUNCTION("IF(
  LEN(TRIM(D941))=0,
  ""왼쪽에 영어 문장을 입력하세요"",
  GOOGLETRANSLATE(D941,""en"",""ko"")
)"),"허술한")</f>
        <v>허술한</v>
      </c>
      <c r="F941" s="9" t="s">
        <v>1792</v>
      </c>
    </row>
    <row r="942" ht="20.25" customHeight="1">
      <c r="A942" s="5">
        <v>1008.0</v>
      </c>
      <c r="B942" s="6">
        <v>251224.0</v>
      </c>
      <c r="C942" s="4"/>
      <c r="D942" s="13" t="s">
        <v>513</v>
      </c>
      <c r="E942" s="8" t="str">
        <f>IFERROR(__xludf.DUMMYFUNCTION("IF(
  LEN(TRIM(D942))=0,
  ""왼쪽에 영어 문장을 입력하세요"",
  GOOGLETRANSLATE(D942,""en"",""ko"")
)"),"양파를 아끼지 마세요")</f>
        <v>양파를 아끼지 마세요</v>
      </c>
      <c r="F942" s="14" t="s">
        <v>514</v>
      </c>
    </row>
    <row r="943" ht="20.25" customHeight="1">
      <c r="A943" s="5">
        <v>1009.0</v>
      </c>
      <c r="B943" s="6">
        <v>251224.0</v>
      </c>
      <c r="C943" s="4"/>
      <c r="D943" s="7" t="s">
        <v>1793</v>
      </c>
      <c r="E943" s="8" t="str">
        <f>IFERROR(__xludf.DUMMYFUNCTION("IF(
  LEN(TRIM(D943))=0,
  ""왼쪽에 영어 문장을 입력하세요"",
  GOOGLETRANSLATE(D943,""en"",""ko"")
)"),"음모")</f>
        <v>음모</v>
      </c>
      <c r="F943" s="9" t="s">
        <v>1794</v>
      </c>
    </row>
    <row r="944" ht="20.25" customHeight="1">
      <c r="A944" s="5">
        <v>1010.0</v>
      </c>
      <c r="B944" s="6">
        <v>251224.0</v>
      </c>
      <c r="C944" s="4"/>
      <c r="D944" s="7" t="s">
        <v>1795</v>
      </c>
      <c r="E944" s="8" t="str">
        <f>IFERROR(__xludf.DUMMYFUNCTION("IF(
  LEN(TRIM(D944))=0,
  ""왼쪽에 영어 문장을 입력하세요"",
  GOOGLETRANSLATE(D944,""en"",""ko"")
)"),"나는 흥미를 느꼈다")</f>
        <v>나는 흥미를 느꼈다</v>
      </c>
      <c r="F944" s="9" t="s">
        <v>1796</v>
      </c>
    </row>
    <row r="945" ht="20.25" customHeight="1">
      <c r="A945" s="5">
        <v>1011.0</v>
      </c>
      <c r="B945" s="6">
        <v>251224.0</v>
      </c>
      <c r="C945" s="4"/>
      <c r="D945" s="7" t="s">
        <v>1797</v>
      </c>
      <c r="E945" s="8" t="str">
        <f>IFERROR(__xludf.DUMMYFUNCTION("IF(
  LEN(TRIM(D945))=0,
  ""왼쪽에 영어 문장을 입력하세요"",
  GOOGLETRANSLATE(D945,""en"",""ko"")
)"),"나는 하마터면 바로 지나칠 뻔했어.")</f>
        <v>나는 하마터면 바로 지나칠 뻔했어.</v>
      </c>
      <c r="F945" s="9" t="s">
        <v>1798</v>
      </c>
    </row>
    <row r="946" ht="20.25" customHeight="1">
      <c r="A946" s="5">
        <v>1012.0</v>
      </c>
      <c r="B946" s="6">
        <v>251224.0</v>
      </c>
      <c r="C946" s="4"/>
      <c r="D946" s="7" t="s">
        <v>1799</v>
      </c>
      <c r="E946" s="8" t="str">
        <f>IFERROR(__xludf.DUMMYFUNCTION("IF(
  LEN(TRIM(D946))=0,
  ""왼쪽에 영어 문장을 입력하세요"",
  GOOGLETRANSLATE(D946,""en"",""ko"")
)"),"감명받았습니다")</f>
        <v>감명받았습니다</v>
      </c>
      <c r="F946" s="9" t="s">
        <v>1800</v>
      </c>
    </row>
    <row r="947" ht="20.25" customHeight="1">
      <c r="A947" s="5">
        <v>1013.0</v>
      </c>
      <c r="B947" s="6">
        <v>251224.0</v>
      </c>
      <c r="C947" s="4"/>
      <c r="D947" s="7" t="s">
        <v>1801</v>
      </c>
      <c r="E947" s="8" t="str">
        <f>IFERROR(__xludf.DUMMYFUNCTION("IF(
  LEN(TRIM(D947))=0,
  ""왼쪽에 영어 문장을 입력하세요"",
  GOOGLETRANSLATE(D947,""en"",""ko"")
)"),"강력한 위력을 지녔습니다")</f>
        <v>강력한 위력을 지녔습니다</v>
      </c>
      <c r="F947" s="9" t="s">
        <v>1802</v>
      </c>
    </row>
    <row r="948" ht="20.25" customHeight="1">
      <c r="A948" s="5">
        <v>1014.0</v>
      </c>
      <c r="B948" s="6">
        <v>251224.0</v>
      </c>
      <c r="C948" s="4"/>
      <c r="D948" s="7" t="s">
        <v>1803</v>
      </c>
      <c r="E948" s="8" t="str">
        <f>IFERROR(__xludf.DUMMYFUNCTION("IF(
  LEN(TRIM(D948))=0,
  ""왼쪽에 영어 문장을 입력하세요"",
  GOOGLETRANSLATE(D948,""en"",""ko"")
)"),"갓 볶은 커피 향이 나를 끌어당겼다")</f>
        <v>갓 볶은 커피 향이 나를 끌어당겼다</v>
      </c>
      <c r="F948" s="9" t="s">
        <v>1804</v>
      </c>
    </row>
    <row r="949" ht="20.25" customHeight="1">
      <c r="A949" s="5">
        <v>1015.0</v>
      </c>
      <c r="B949" s="6">
        <v>251224.0</v>
      </c>
      <c r="C949" s="4"/>
      <c r="D949" s="7" t="s">
        <v>1805</v>
      </c>
      <c r="E949" s="8" t="str">
        <f>IFERROR(__xludf.DUMMYFUNCTION("IF(
  LEN(TRIM(D949))=0,
  ""왼쪽에 영어 문장을 입력하세요"",
  GOOGLETRANSLATE(D949,""en"",""ko"")
)"),"황홀")</f>
        <v>황홀</v>
      </c>
      <c r="F949" s="9" t="s">
        <v>1806</v>
      </c>
    </row>
    <row r="950" ht="20.25" customHeight="1">
      <c r="A950" s="5">
        <v>1016.0</v>
      </c>
      <c r="B950" s="6">
        <v>251224.0</v>
      </c>
      <c r="C950" s="4"/>
      <c r="D950" s="7" t="s">
        <v>1807</v>
      </c>
      <c r="E950" s="8" t="str">
        <f>IFERROR(__xludf.DUMMYFUNCTION("IF(
  LEN(TRIM(D950))=0,
  ""왼쪽에 영어 문장을 입력하세요"",
  GOOGLETRANSLATE(D950,""en"",""ko"")
)"),"제가 도와드릴게요")</f>
        <v>제가 도와드릴게요</v>
      </c>
      <c r="F950" s="9" t="s">
        <v>1808</v>
      </c>
    </row>
    <row r="951" ht="20.25" customHeight="1">
      <c r="A951" s="5">
        <v>1017.0</v>
      </c>
      <c r="B951" s="6">
        <v>251224.0</v>
      </c>
      <c r="C951" s="4"/>
      <c r="D951" s="7" t="s">
        <v>1809</v>
      </c>
      <c r="E951" s="8" t="str">
        <f>IFERROR(__xludf.DUMMYFUNCTION("IF(
  LEN(TRIM(D951))=0,
  ""왼쪽에 영어 문장을 입력하세요"",
  GOOGLETRANSLATE(D951,""en"",""ko"")
)"),"매일매일")</f>
        <v>매일매일</v>
      </c>
      <c r="F951" s="9" t="s">
        <v>1810</v>
      </c>
    </row>
    <row r="952" ht="20.25" customHeight="1">
      <c r="A952" s="5">
        <v>1018.0</v>
      </c>
      <c r="B952" s="6">
        <v>251224.0</v>
      </c>
      <c r="C952" s="4"/>
      <c r="D952" s="7" t="s">
        <v>1811</v>
      </c>
      <c r="E952" s="8" t="str">
        <f>IFERROR(__xludf.DUMMYFUNCTION("IF(
  LEN(TRIM(D952))=0,
  ""왼쪽에 영어 문장을 입력하세요"",
  GOOGLETRANSLATE(D952,""en"",""ko"")
)"),"무언가에 맹세하다")</f>
        <v>무언가에 맹세하다</v>
      </c>
      <c r="F952" s="9" t="s">
        <v>1812</v>
      </c>
    </row>
    <row r="953" ht="20.25" customHeight="1">
      <c r="A953" s="5">
        <v>1019.0</v>
      </c>
      <c r="B953" s="6">
        <v>251224.0</v>
      </c>
      <c r="C953" s="4"/>
      <c r="D953" s="7" t="s">
        <v>1813</v>
      </c>
      <c r="E953" s="8" t="str">
        <f>IFERROR(__xludf.DUMMYFUNCTION("IF(
  LEN(TRIM(D953))=0,
  ""왼쪽에 영어 문장을 입력하세요"",
  GOOGLETRANSLATE(D953,""en"",""ko"")
)"),"저는 활력을 유지하기 위해 아침 요가 루틴을 정말 중요하게 생각해요.")</f>
        <v>저는 활력을 유지하기 위해 아침 요가 루틴을 정말 중요하게 생각해요.</v>
      </c>
      <c r="F953" s="9" t="s">
        <v>1814</v>
      </c>
    </row>
    <row r="954" ht="20.25" customHeight="1">
      <c r="A954" s="5">
        <v>1020.0</v>
      </c>
      <c r="B954" s="6">
        <v>251224.0</v>
      </c>
      <c r="C954" s="4"/>
      <c r="D954" s="7" t="s">
        <v>1815</v>
      </c>
      <c r="E954" s="8" t="str">
        <f>IFERROR(__xludf.DUMMYFUNCTION("IF(
  LEN(TRIM(D954))=0,
  ""왼쪽에 영어 문장을 입력하세요"",
  GOOGLETRANSLATE(D954,""en"",""ko"")
)"),"힘든 일입니다")</f>
        <v>힘든 일입니다</v>
      </c>
      <c r="F954" s="9" t="s">
        <v>1816</v>
      </c>
    </row>
    <row r="955" ht="20.25" customHeight="1">
      <c r="A955" s="5">
        <v>1021.0</v>
      </c>
      <c r="B955" s="6">
        <v>251224.0</v>
      </c>
      <c r="C955" s="4"/>
      <c r="D955" s="7" t="s">
        <v>1817</v>
      </c>
      <c r="E955" s="8" t="str">
        <f>IFERROR(__xludf.DUMMYFUNCTION("IF(
  LEN(TRIM(D955))=0,
  ""왼쪽에 영어 문장을 입력하세요"",
  GOOGLETRANSLATE(D955,""en"",""ko"")
)"),"잔여물")</f>
        <v>잔여물</v>
      </c>
      <c r="F955" s="9" t="s">
        <v>1818</v>
      </c>
    </row>
    <row r="956" ht="20.25" customHeight="1">
      <c r="A956" s="5">
        <v>1022.0</v>
      </c>
      <c r="B956" s="6">
        <v>251224.0</v>
      </c>
      <c r="C956" s="4"/>
      <c r="D956" s="7" t="s">
        <v>1819</v>
      </c>
      <c r="E956" s="8" t="str">
        <f>IFERROR(__xludf.DUMMYFUNCTION("IF(
  LEN(TRIM(D956))=0,
  ""왼쪽에 영어 문장을 입력하세요"",
  GOOGLETRANSLATE(D956,""en"",""ko"")
)"),"손에 묻은 음식물 찌꺼기를 제거하고 싶어요.")</f>
        <v>손에 묻은 음식물 찌꺼기를 제거하고 싶어요.</v>
      </c>
      <c r="F956" s="9" t="s">
        <v>1820</v>
      </c>
    </row>
    <row r="957" ht="20.25" customHeight="1">
      <c r="A957" s="5">
        <v>1023.0</v>
      </c>
      <c r="B957" s="6">
        <v>251224.0</v>
      </c>
      <c r="C957" s="4"/>
      <c r="D957" s="7" t="s">
        <v>1821</v>
      </c>
      <c r="E957" s="8" t="str">
        <f>IFERROR(__xludf.DUMMYFUNCTION("IF(
  LEN(TRIM(D957))=0,
  ""왼쪽에 영어 문장을 입력하세요"",
  GOOGLETRANSLATE(D957,""en"",""ko"")
)"),"혈액순환을 촉진시켜야 해")</f>
        <v>혈액순환을 촉진시켜야 해</v>
      </c>
      <c r="F957" s="9" t="s">
        <v>1822</v>
      </c>
    </row>
    <row r="958" ht="20.25" customHeight="1">
      <c r="A958" s="5">
        <v>1024.0</v>
      </c>
      <c r="B958" s="6">
        <v>251224.0</v>
      </c>
      <c r="C958" s="4"/>
      <c r="D958" s="7" t="s">
        <v>1823</v>
      </c>
      <c r="E958" s="8" t="str">
        <f>IFERROR(__xludf.DUMMYFUNCTION("IF(
  LEN(TRIM(D958))=0,
  ""왼쪽에 영어 문장을 입력하세요"",
  GOOGLETRANSLATE(D958,""en"",""ko"")
)"),"포함하다")</f>
        <v>포함하다</v>
      </c>
      <c r="F958" s="9" t="s">
        <v>1824</v>
      </c>
    </row>
    <row r="959" ht="20.25" customHeight="1">
      <c r="A959" s="5">
        <v>1025.0</v>
      </c>
      <c r="B959" s="6">
        <v>251224.0</v>
      </c>
      <c r="C959" s="4"/>
      <c r="D959" s="7" t="s">
        <v>1825</v>
      </c>
      <c r="E959" s="8" t="str">
        <f>IFERROR(__xludf.DUMMYFUNCTION("IF(
  LEN(TRIM(D959))=0,
  ""왼쪽에 영어 문장을 입력하세요"",
  GOOGLETRANSLATE(D959,""en"",""ko"")
)"),"그는 아침 일과에 운동을 포함시켰다.")</f>
        <v>그는 아침 일과에 운동을 포함시켰다.</v>
      </c>
      <c r="F959" s="9" t="s">
        <v>1826</v>
      </c>
    </row>
    <row r="960" ht="20.25" customHeight="1">
      <c r="A960" s="5">
        <v>1026.0</v>
      </c>
      <c r="B960" s="6">
        <v>251224.0</v>
      </c>
      <c r="C960" s="4"/>
      <c r="D960" s="7" t="s">
        <v>1827</v>
      </c>
      <c r="E960" s="8" t="str">
        <f>IFERROR(__xludf.DUMMYFUNCTION("IF(
  LEN(TRIM(D960))=0,
  ""왼쪽에 영어 문장을 입력하세요"",
  GOOGLETRANSLATE(D960,""en"",""ko"")
)"),"조상 제례")</f>
        <v>조상 제례</v>
      </c>
      <c r="F960" s="9" t="s">
        <v>1828</v>
      </c>
    </row>
    <row r="961" ht="20.25" customHeight="1">
      <c r="A961" s="5">
        <v>1027.0</v>
      </c>
      <c r="B961" s="6">
        <v>251224.0</v>
      </c>
      <c r="C961" s="4"/>
      <c r="D961" s="7" t="s">
        <v>1829</v>
      </c>
      <c r="E961" s="8" t="str">
        <f>IFERROR(__xludf.DUMMYFUNCTION("IF(
  LEN(TRIM(D961))=0,
  ""왼쪽에 영어 문장을 입력하세요"",
  GOOGLETRANSLATE(D961,""en"",""ko"")
)"),"서양 호박")</f>
        <v>서양 호박</v>
      </c>
      <c r="F961" s="9" t="s">
        <v>1830</v>
      </c>
    </row>
    <row r="962" ht="20.25" customHeight="1">
      <c r="A962" s="5">
        <v>1028.0</v>
      </c>
      <c r="B962" s="6">
        <v>251224.0</v>
      </c>
      <c r="C962" s="4"/>
      <c r="D962" s="7" t="s">
        <v>1831</v>
      </c>
      <c r="E962" s="8" t="str">
        <f>IFERROR(__xludf.DUMMYFUNCTION("IF(
  LEN(TRIM(D962))=0,
  ""왼쪽에 영어 문장을 입력하세요"",
  GOOGLETRANSLATE(D962,""en"",""ko"")
)"),"할 수 있는")</f>
        <v>할 수 있는</v>
      </c>
      <c r="F962" s="9" t="s">
        <v>1832</v>
      </c>
    </row>
    <row r="963" ht="20.25" customHeight="1">
      <c r="A963" s="5">
        <v>1029.0</v>
      </c>
      <c r="B963" s="6">
        <v>251224.0</v>
      </c>
      <c r="C963" s="4"/>
      <c r="D963" s="7" t="s">
        <v>1833</v>
      </c>
      <c r="E963" s="8" t="str">
        <f>IFERROR(__xludf.DUMMYFUNCTION("IF(
  LEN(TRIM(D963))=0,
  ""왼쪽에 영어 문장을 입력하세요"",
  GOOGLETRANSLATE(D963,""en"",""ko"")
)"),"10km 달리기에 50분 정도면 저한테는 충분히 가능한 시간입니다.")</f>
        <v>10km 달리기에 50분 정도면 저한테는 충분히 가능한 시간입니다.</v>
      </c>
      <c r="F963" s="9" t="s">
        <v>1834</v>
      </c>
    </row>
    <row r="964" ht="20.25" customHeight="1">
      <c r="A964" s="5">
        <v>1030.0</v>
      </c>
      <c r="B964" s="6">
        <v>251224.0</v>
      </c>
      <c r="C964" s="4"/>
      <c r="D964" s="7" t="s">
        <v>1835</v>
      </c>
      <c r="E964" s="8" t="str">
        <f>IFERROR(__xludf.DUMMYFUNCTION("IF(
  LEN(TRIM(D964))=0,
  ""왼쪽에 영어 문장을 입력하세요"",
  GOOGLETRANSLATE(D964,""en"",""ko"")
)"),"저는 슬픔을 극복한 것 같아요.")</f>
        <v>저는 슬픔을 극복한 것 같아요.</v>
      </c>
      <c r="F964" s="9" t="s">
        <v>1836</v>
      </c>
    </row>
    <row r="965" ht="20.25" customHeight="1">
      <c r="A965" s="5">
        <v>1031.0</v>
      </c>
      <c r="B965" s="6">
        <v>251224.0</v>
      </c>
      <c r="C965" s="4"/>
      <c r="D965" s="7" t="s">
        <v>1837</v>
      </c>
      <c r="E965" s="8" t="str">
        <f>IFERROR(__xludf.DUMMYFUNCTION("IF(
  LEN(TRIM(D965))=0,
  ""왼쪽에 영어 문장을 입력하세요"",
  GOOGLETRANSLATE(D965,""en"",""ko"")
)"),"다른 사람들을 편안하게 해주려고 슬픔을 억누르고 있는 게 아니라면, 다행이네요.")</f>
        <v>다른 사람들을 편안하게 해주려고 슬픔을 억누르고 있는 게 아니라면, 다행이네요.</v>
      </c>
      <c r="F965" s="9" t="s">
        <v>1838</v>
      </c>
    </row>
    <row r="966" ht="20.25" customHeight="1">
      <c r="A966" s="5">
        <v>1032.0</v>
      </c>
      <c r="B966" s="6">
        <v>251224.0</v>
      </c>
      <c r="C966" s="4"/>
      <c r="D966" s="7" t="s">
        <v>1839</v>
      </c>
      <c r="E966" s="8" t="str">
        <f>IFERROR(__xludf.DUMMYFUNCTION("IF(
  LEN(TRIM(D966))=0,
  ""왼쪽에 영어 문장을 입력하세요"",
  GOOGLETRANSLATE(D966,""en"",""ko"")
)"),"병에 담다")</f>
        <v>병에 담다</v>
      </c>
      <c r="F966" s="9" t="s">
        <v>1840</v>
      </c>
    </row>
    <row r="967" ht="20.25" customHeight="1">
      <c r="A967" s="5">
        <v>1033.0</v>
      </c>
      <c r="B967" s="6">
        <v>251224.0</v>
      </c>
      <c r="C967" s="4"/>
      <c r="D967" s="7" t="s">
        <v>1841</v>
      </c>
      <c r="E967" s="8" t="str">
        <f>IFERROR(__xludf.DUMMYFUNCTION("IF(
  LEN(TRIM(D967))=0,
  ""왼쪽에 영어 문장을 입력하세요"",
  GOOGLETRANSLATE(D967,""en"",""ko"")
)"),"난동")</f>
        <v>난동</v>
      </c>
      <c r="F967" s="9" t="s">
        <v>1842</v>
      </c>
    </row>
    <row r="968" ht="20.25" customHeight="1">
      <c r="A968" s="5">
        <v>1034.0</v>
      </c>
      <c r="B968" s="6">
        <v>251224.0</v>
      </c>
      <c r="C968" s="4"/>
      <c r="D968" s="7" t="s">
        <v>1843</v>
      </c>
      <c r="E968" s="8" t="str">
        <f>IFERROR(__xludf.DUMMYFUNCTION("IF(
  LEN(TRIM(D968))=0,
  ""왼쪽에 영어 문장을 입력하세요"",
  GOOGLETRANSLATE(D968,""en"",""ko"")
)"),"지형")</f>
        <v>지형</v>
      </c>
      <c r="F968" s="9" t="s">
        <v>1844</v>
      </c>
    </row>
    <row r="969" ht="20.25" customHeight="1">
      <c r="A969" s="5">
        <v>1035.0</v>
      </c>
      <c r="B969" s="6">
        <v>251224.0</v>
      </c>
      <c r="C969" s="4"/>
      <c r="D969" s="7" t="s">
        <v>1845</v>
      </c>
      <c r="E969" s="8" t="str">
        <f>IFERROR(__xludf.DUMMYFUNCTION("IF(
  LEN(TRIM(D969))=0,
  ""왼쪽에 영어 문장을 입력하세요"",
  GOOGLETRANSLATE(D969,""en"",""ko"")
)"),"복권을 사서 운을 시험해 봐야겠어요.")</f>
        <v>복권을 사서 운을 시험해 봐야겠어요.</v>
      </c>
      <c r="F969" s="9" t="s">
        <v>1846</v>
      </c>
    </row>
    <row r="970" ht="20.25" customHeight="1">
      <c r="A970" s="5">
        <v>1036.0</v>
      </c>
      <c r="B970" s="6">
        <v>251224.0</v>
      </c>
      <c r="C970" s="4"/>
      <c r="D970" s="7" t="s">
        <v>1847</v>
      </c>
      <c r="E970" s="8" t="str">
        <f>IFERROR(__xludf.DUMMYFUNCTION("IF(
  LEN(TRIM(D970))=0,
  ""왼쪽에 영어 문장을 입력하세요"",
  GOOGLETRANSLATE(D970,""en"",""ko"")
)"),"구분")</f>
        <v>구분</v>
      </c>
      <c r="F970" s="9" t="s">
        <v>1848</v>
      </c>
    </row>
    <row r="971" ht="20.25" customHeight="1">
      <c r="A971" s="5">
        <v>1037.0</v>
      </c>
      <c r="B971" s="6">
        <v>251224.0</v>
      </c>
      <c r="C971" s="4"/>
      <c r="D971" s="7" t="s">
        <v>1849</v>
      </c>
      <c r="E971" s="8" t="str">
        <f>IFERROR(__xludf.DUMMYFUNCTION("IF(
  LEN(TRIM(D971))=0,
  ""왼쪽에 영어 문장을 입력하세요"",
  GOOGLETRANSLATE(D971,""en"",""ko"")
)"),"뭐라고 말해야 할까요? 그는 언제나 저를 놀라게 하네요.")</f>
        <v>뭐라고 말해야 할까요? 그는 언제나 저를 놀라게 하네요.</v>
      </c>
      <c r="F971" s="9" t="s">
        <v>1850</v>
      </c>
    </row>
    <row r="972" ht="20.25" customHeight="1">
      <c r="A972" s="5">
        <v>1038.0</v>
      </c>
      <c r="B972" s="6">
        <v>251224.0</v>
      </c>
      <c r="C972" s="4"/>
      <c r="D972" s="7" t="s">
        <v>1851</v>
      </c>
      <c r="E972" s="8" t="str">
        <f>IFERROR(__xludf.DUMMYFUNCTION("IF(
  LEN(TRIM(D972))=0,
  ""왼쪽에 영어 문장을 입력하세요"",
  GOOGLETRANSLATE(D972,""en"",""ko"")
)"),"삶은 놀라움으로 가득 차 있습니다. 찾아보지 않으면 무엇을 발견하게 될지 절대 알 수 없죠.")</f>
        <v>삶은 놀라움으로 가득 차 있습니다. 찾아보지 않으면 무엇을 발견하게 될지 절대 알 수 없죠.</v>
      </c>
      <c r="F972" s="9" t="s">
        <v>1852</v>
      </c>
    </row>
    <row r="973" ht="20.25" customHeight="1">
      <c r="A973" s="5">
        <v>1039.0</v>
      </c>
      <c r="B973" s="6">
        <v>251224.0</v>
      </c>
      <c r="C973" s="4"/>
      <c r="D973" s="7" t="s">
        <v>1853</v>
      </c>
      <c r="E973" s="8" t="str">
        <f>IFERROR(__xludf.DUMMYFUNCTION("IF(
  LEN(TRIM(D973))=0,
  ""왼쪽에 영어 문장을 입력하세요"",
  GOOGLETRANSLATE(D973,""en"",""ko"")
)"),"수위")</f>
        <v>수위</v>
      </c>
      <c r="F973" s="9" t="s">
        <v>1854</v>
      </c>
    </row>
    <row r="974" ht="20.25" customHeight="1">
      <c r="A974" s="5">
        <v>1040.0</v>
      </c>
      <c r="B974" s="6">
        <v>251224.0</v>
      </c>
      <c r="C974" s="4"/>
      <c r="D974" s="7" t="s">
        <v>1855</v>
      </c>
      <c r="E974" s="8" t="str">
        <f>IFERROR(__xludf.DUMMYFUNCTION("IF(
  LEN(TRIM(D974))=0,
  ""왼쪽에 영어 문장을 입력하세요"",
  GOOGLETRANSLATE(D974,""en"",""ko"")
)"),"맞이하다")</f>
        <v>맞이하다</v>
      </c>
      <c r="F974" s="9" t="s">
        <v>1856</v>
      </c>
    </row>
    <row r="975" ht="20.25" customHeight="1">
      <c r="A975" s="5">
        <v>1041.0</v>
      </c>
      <c r="B975" s="6">
        <v>251224.0</v>
      </c>
      <c r="C975" s="4"/>
      <c r="D975" s="7" t="s">
        <v>1857</v>
      </c>
      <c r="E975" s="8" t="str">
        <f>IFERROR(__xludf.DUMMYFUNCTION("IF(
  LEN(TRIM(D975))=0,
  ""왼쪽에 영어 문장을 입력하세요"",
  GOOGLETRANSLATE(D975,""en"",""ko"")
)"),"상호적인")</f>
        <v>상호적인</v>
      </c>
      <c r="F975" s="9" t="s">
        <v>1858</v>
      </c>
    </row>
    <row r="976" ht="20.25" customHeight="1">
      <c r="A976" s="5">
        <v>1042.0</v>
      </c>
      <c r="B976" s="6">
        <v>251224.0</v>
      </c>
      <c r="C976" s="4"/>
      <c r="D976" s="7" t="s">
        <v>1859</v>
      </c>
      <c r="E976" s="8" t="str">
        <f>IFERROR(__xludf.DUMMYFUNCTION("IF(
  LEN(TRIM(D976))=0,
  ""왼쪽에 영어 문장을 입력하세요"",
  GOOGLETRANSLATE(D976,""en"",""ko"")
)"),"상호 관세")</f>
        <v>상호 관세</v>
      </c>
      <c r="F976" s="9" t="s">
        <v>1860</v>
      </c>
    </row>
    <row r="977" ht="20.25" customHeight="1">
      <c r="A977" s="5">
        <v>1043.0</v>
      </c>
      <c r="B977" s="6">
        <v>251224.0</v>
      </c>
      <c r="C977" s="4"/>
      <c r="D977" s="7" t="s">
        <v>1861</v>
      </c>
      <c r="E977" s="8" t="str">
        <f>IFERROR(__xludf.DUMMYFUNCTION("IF(
  LEN(TRIM(D977))=0,
  ""왼쪽에 영어 문장을 입력하세요"",
  GOOGLETRANSLATE(D977,""en"",""ko"")
)"),"무언가를 곰곰이 생각하다")</f>
        <v>무언가를 곰곰이 생각하다</v>
      </c>
      <c r="F977" s="9" t="s">
        <v>1862</v>
      </c>
    </row>
    <row r="978">
      <c r="A978" s="5">
        <v>1044.0</v>
      </c>
      <c r="B978" s="6">
        <v>251224.0</v>
      </c>
      <c r="C978" s="4"/>
      <c r="D978" s="7" t="s">
        <v>1863</v>
      </c>
      <c r="E978" s="8" t="str">
        <f>IFERROR(__xludf.DUMMYFUNCTION("IF(
  LEN(TRIM(D978))=0,
  ""왼쪽에 영어 문장을 입력하세요"",
  GOOGLETRANSLATE(D978,""en"",""ko"")
)"),"때로는 실내 공기 오염이 실외 공기 오염보다 더 심할 수 있습니다. 따라서,
실외 공기가 좋지 않다고 해서 창문을 열지 않는 것은 좋지 않습니다.")</f>
        <v>때로는 실내 공기 오염이 실외 공기 오염보다 더 심할 수 있습니다. 따라서,
실외 공기가 좋지 않다고 해서 창문을 열지 않는 것은 좋지 않습니다.</v>
      </c>
      <c r="F978" s="9" t="s">
        <v>1864</v>
      </c>
    </row>
    <row r="979" ht="20.25" customHeight="1">
      <c r="A979" s="5">
        <v>1045.0</v>
      </c>
      <c r="B979" s="6">
        <v>251224.0</v>
      </c>
      <c r="C979" s="4"/>
      <c r="D979" s="7" t="s">
        <v>1865</v>
      </c>
      <c r="E979" s="8" t="str">
        <f>IFERROR(__xludf.DUMMYFUNCTION("IF(
  LEN(TRIM(D979))=0,
  ""왼쪽에 영어 문장을 입력하세요"",
  GOOGLETRANSLATE(D979,""en"",""ko"")
)"),"그들은 나중에 추가 보안 조치를 취했습니다.")</f>
        <v>그들은 나중에 추가 보안 조치를 취했습니다.</v>
      </c>
      <c r="F979" s="9" t="s">
        <v>1866</v>
      </c>
    </row>
    <row r="980" ht="20.25" customHeight="1">
      <c r="A980" s="5">
        <v>1046.0</v>
      </c>
      <c r="B980" s="6">
        <v>251224.0</v>
      </c>
      <c r="C980" s="4"/>
      <c r="D980" s="7" t="s">
        <v>1867</v>
      </c>
      <c r="E980" s="8" t="str">
        <f>IFERROR(__xludf.DUMMYFUNCTION("IF(
  LEN(TRIM(D980))=0,
  ""왼쪽에 영어 문장을 입력하세요"",
  GOOGLETRANSLATE(D980,""en"",""ko"")
)"),"겉으로 보기엔 아주 좋은 거래였지만, 자세히 살펴보니 문제점들이 드러났습니다.")</f>
        <v>겉으로 보기엔 아주 좋은 거래였지만, 자세히 살펴보니 문제점들이 드러났습니다.</v>
      </c>
      <c r="F980" s="9" t="s">
        <v>1868</v>
      </c>
    </row>
    <row r="981" ht="20.25" customHeight="1">
      <c r="A981" s="5">
        <v>1047.0</v>
      </c>
      <c r="B981" s="6">
        <v>251224.0</v>
      </c>
      <c r="C981" s="4"/>
      <c r="D981" s="7" t="s">
        <v>1869</v>
      </c>
      <c r="E981" s="8" t="str">
        <f>IFERROR(__xludf.DUMMYFUNCTION("IF(
  LEN(TRIM(D981))=0,
  ""왼쪽에 영어 문장을 입력하세요"",
  GOOGLETRANSLATE(D981,""en"",""ko"")
)"),"겉보기에는 쉬워 보이지만 실제로는 상당히 힘든 일입니다.")</f>
        <v>겉보기에는 쉬워 보이지만 실제로는 상당히 힘든 일입니다.</v>
      </c>
      <c r="F981" s="9" t="s">
        <v>1870</v>
      </c>
    </row>
    <row r="982" ht="20.25" customHeight="1">
      <c r="A982" s="5">
        <v>1048.0</v>
      </c>
      <c r="B982" s="6">
        <v>251224.0</v>
      </c>
      <c r="C982" s="4"/>
      <c r="D982" s="7" t="s">
        <v>1871</v>
      </c>
      <c r="E982" s="8" t="str">
        <f>IFERROR(__xludf.DUMMYFUNCTION("IF(
  LEN(TRIM(D982))=0,
  ""왼쪽에 영어 문장을 입력하세요"",
  GOOGLETRANSLATE(D982,""en"",""ko"")
)"),"그들이 선수 교체를 못마땅하게 여기지 않았으면 좋겠어요.")</f>
        <v>그들이 선수 교체를 못마땅하게 여기지 않았으면 좋겠어요.</v>
      </c>
      <c r="F982" s="9" t="s">
        <v>1872</v>
      </c>
    </row>
    <row r="983" ht="20.25" customHeight="1">
      <c r="A983" s="5">
        <v>1049.0</v>
      </c>
      <c r="B983" s="6">
        <v>251224.0</v>
      </c>
      <c r="C983" s="4"/>
      <c r="D983" s="7" t="s">
        <v>1873</v>
      </c>
      <c r="E983" s="8" t="str">
        <f>IFERROR(__xludf.DUMMYFUNCTION("IF(
  LEN(TRIM(D983))=0,
  ""왼쪽에 영어 문장을 입력하세요"",
  GOOGLETRANSLATE(D983,""en"",""ko"")
)"),"그는 그 충격적인 소식을 들었을 때 눈 하나 깜빡하지 않았다.")</f>
        <v>그는 그 충격적인 소식을 들었을 때 눈 하나 깜빡하지 않았다.</v>
      </c>
      <c r="F983" s="9" t="s">
        <v>1874</v>
      </c>
    </row>
    <row r="984" ht="20.25" customHeight="1">
      <c r="A984" s="5">
        <v>1050.0</v>
      </c>
      <c r="B984" s="6">
        <v>251224.0</v>
      </c>
      <c r="C984" s="4"/>
      <c r="D984" s="7" t="s">
        <v>1875</v>
      </c>
      <c r="E984" s="8" t="str">
        <f>IFERROR(__xludf.DUMMYFUNCTION("IF(
  LEN(TRIM(D984))=0,
  ""왼쪽에 영어 문장을 입력하세요"",
  GOOGLETRANSLATE(D984,""en"",""ko"")
)"),"박쥐와 눈")</f>
        <v>박쥐와 눈</v>
      </c>
      <c r="F984" s="9" t="s">
        <v>1876</v>
      </c>
    </row>
    <row r="985" ht="20.25" customHeight="1">
      <c r="A985" s="5">
        <v>1051.0</v>
      </c>
      <c r="B985" s="6">
        <v>251224.0</v>
      </c>
      <c r="C985" s="4"/>
      <c r="D985" s="7" t="s">
        <v>1877</v>
      </c>
      <c r="E985" s="8" t="str">
        <f>IFERROR(__xludf.DUMMYFUNCTION("IF(
  LEN(TRIM(D985))=0,
  ""왼쪽에 영어 문장을 입력하세요"",
  GOOGLETRANSLATE(D985,""en"",""ko"")
)"),"대낮처럼 명백하다")</f>
        <v>대낮처럼 명백하다</v>
      </c>
      <c r="F985" s="9" t="s">
        <v>1878</v>
      </c>
    </row>
    <row r="986" ht="20.25" customHeight="1">
      <c r="A986" s="5">
        <v>1052.0</v>
      </c>
      <c r="B986" s="6">
        <v>251224.0</v>
      </c>
      <c r="C986" s="4"/>
      <c r="D986" s="7" t="s">
        <v>1879</v>
      </c>
      <c r="E986" s="8" t="str">
        <f>IFERROR(__xludf.DUMMYFUNCTION("IF(
  LEN(TRIM(D986))=0,
  ""왼쪽에 영어 문장을 입력하세요"",
  GOOGLETRANSLATE(D986,""en"",""ko"")
)"),"보고서의 오류는 그것을 읽어본 사람이라면 누구나 알 수 있을 정도로 명백했다.")</f>
        <v>보고서의 오류는 그것을 읽어본 사람이라면 누구나 알 수 있을 정도로 명백했다.</v>
      </c>
      <c r="F986" s="9" t="s">
        <v>1880</v>
      </c>
    </row>
    <row r="987" ht="20.25" customHeight="1">
      <c r="A987" s="5">
        <v>1053.0</v>
      </c>
      <c r="B987" s="6">
        <v>251224.0</v>
      </c>
      <c r="C987" s="4"/>
      <c r="D987" s="7" t="s">
        <v>1881</v>
      </c>
      <c r="E987" s="8" t="str">
        <f>IFERROR(__xludf.DUMMYFUNCTION("IF(
  LEN(TRIM(D987))=0,
  ""왼쪽에 영어 문장을 입력하세요"",
  GOOGLETRANSLATE(D987,""en"",""ko"")
)"),"그 자리에 머무르세요")</f>
        <v>그 자리에 머무르세요</v>
      </c>
      <c r="F987" s="9" t="s">
        <v>1882</v>
      </c>
    </row>
    <row r="988" ht="20.25" customHeight="1">
      <c r="A988" s="5">
        <v>1054.0</v>
      </c>
      <c r="B988" s="6">
        <v>251224.0</v>
      </c>
      <c r="C988" s="4"/>
      <c r="D988" s="7" t="s">
        <v>1883</v>
      </c>
      <c r="E988" s="8" t="str">
        <f>IFERROR(__xludf.DUMMYFUNCTION("IF(
  LEN(TRIM(D988))=0,
  ""왼쪽에 영어 문장을 입력하세요"",
  GOOGLETRANSLATE(D988,""en"",""ko"")
)"),"그게 바로 내기 조건이었어요. 그런데 그건 당신이 정한 조건이었죠.")</f>
        <v>그게 바로 내기 조건이었어요. 그런데 그건 당신이 정한 조건이었죠.</v>
      </c>
      <c r="F988" s="9" t="s">
        <v>1884</v>
      </c>
    </row>
    <row r="989" ht="20.25" customHeight="1">
      <c r="A989" s="5">
        <v>1055.0</v>
      </c>
      <c r="B989" s="6">
        <v>251224.0</v>
      </c>
      <c r="C989" s="4"/>
      <c r="D989" s="7" t="s">
        <v>1885</v>
      </c>
      <c r="E989" s="8" t="str">
        <f>IFERROR(__xludf.DUMMYFUNCTION("IF(
  LEN(TRIM(D989))=0,
  ""왼쪽에 영어 문장을 입력하세요"",
  GOOGLETRANSLATE(D989,""en"",""ko"")
)"),"그렇게 물어보는 건 손해 볼 게 없잖아요.")</f>
        <v>그렇게 물어보는 건 손해 볼 게 없잖아요.</v>
      </c>
      <c r="F989" s="9" t="s">
        <v>1886</v>
      </c>
    </row>
    <row r="990" ht="20.25" customHeight="1">
      <c r="A990" s="5">
        <v>1056.0</v>
      </c>
      <c r="B990" s="6">
        <v>251224.0</v>
      </c>
      <c r="C990" s="4"/>
      <c r="D990" s="7" t="s">
        <v>1887</v>
      </c>
      <c r="E990" s="8" t="str">
        <f>IFERROR(__xludf.DUMMYFUNCTION("IF(
  LEN(TRIM(D990))=0,
  ""왼쪽에 영어 문장을 입력하세요"",
  GOOGLETRANSLATE(D990,""en"",""ko"")
)"),"시도해 보는 것도 나쁘지 않잖아요.")</f>
        <v>시도해 보는 것도 나쁘지 않잖아요.</v>
      </c>
      <c r="F990" s="9" t="s">
        <v>1888</v>
      </c>
    </row>
    <row r="991" ht="20.25" customHeight="1">
      <c r="A991" s="5">
        <v>1057.0</v>
      </c>
      <c r="B991" s="6">
        <v>251224.0</v>
      </c>
      <c r="C991" s="4"/>
      <c r="D991" s="7" t="s">
        <v>1889</v>
      </c>
      <c r="E991" s="8" t="str">
        <f>IFERROR(__xludf.DUMMYFUNCTION("IF(
  LEN(TRIM(D991))=0,
  ""왼쪽에 영어 문장을 입력하세요"",
  GOOGLETRANSLATE(D991,""en"",""ko"")
)"),"조심하는 건 나쁠 게 없잖아요.")</f>
        <v>조심하는 건 나쁠 게 없잖아요.</v>
      </c>
      <c r="F991" s="9" t="s">
        <v>1890</v>
      </c>
    </row>
    <row r="992" ht="20.25" customHeight="1">
      <c r="A992" s="5">
        <v>1058.0</v>
      </c>
      <c r="B992" s="6">
        <v>251224.0</v>
      </c>
      <c r="C992" s="4"/>
      <c r="D992" s="7" t="s">
        <v>1891</v>
      </c>
      <c r="E992" s="8" t="str">
        <f>IFERROR(__xludf.DUMMYFUNCTION("IF(
  LEN(TRIM(D992))=0,
  ""왼쪽에 영어 문장을 입력하세요"",
  GOOGLETRANSLATE(D992,""en"",""ko"")
)"),"내가 어떻게 그가 거짓말을 하고 있는지 알 수 있었겠어요?")</f>
        <v>내가 어떻게 그가 거짓말을 하고 있는지 알 수 있었겠어요?</v>
      </c>
      <c r="F992" s="9" t="s">
        <v>1892</v>
      </c>
    </row>
    <row r="993">
      <c r="A993" s="5">
        <v>1059.0</v>
      </c>
      <c r="B993" s="6">
        <v>251224.0</v>
      </c>
      <c r="C993" s="4"/>
      <c r="D993" s="7" t="s">
        <v>1893</v>
      </c>
      <c r="E993" s="8" t="str">
        <f>IFERROR(__xludf.DUMMYFUNCTION("IF(
  LEN(TRIM(D993))=0,
  ""왼쪽에 영어 문장을 입력하세요"",
  GOOGLETRANSLATE(D993,""en"",""ko"")
)"),"이 신발이 마음에 들었는데, 뒤쪽에 흠집이 있네요.
할인을 요청해 보는 것도 나쁘지 않겠죠? 어떤 제안을 받을지 모르잖아요.")</f>
        <v>이 신발이 마음에 들었는데, 뒤쪽에 흠집이 있네요.
할인을 요청해 보는 것도 나쁘지 않겠죠? 어떤 제안을 받을지 모르잖아요.</v>
      </c>
      <c r="F993" s="9" t="s">
        <v>1894</v>
      </c>
    </row>
    <row r="994" ht="20.25" customHeight="1">
      <c r="A994" s="5">
        <v>1060.0</v>
      </c>
      <c r="B994" s="6">
        <v>251224.0</v>
      </c>
      <c r="C994" s="4"/>
      <c r="D994" s="7" t="s">
        <v>1895</v>
      </c>
      <c r="E994" s="8" t="str">
        <f>IFERROR(__xludf.DUMMYFUNCTION("IF(
  LEN(TRIM(D994))=0,
  ""왼쪽에 영어 문장을 입력하세요"",
  GOOGLETRANSLATE(D994,""en"",""ko"")
)"),"대하다 ")</f>
        <v>대하다 </v>
      </c>
      <c r="F994" s="9" t="s">
        <v>1896</v>
      </c>
    </row>
    <row r="995" ht="20.25" customHeight="1">
      <c r="A995" s="5">
        <v>1061.0</v>
      </c>
      <c r="B995" s="6">
        <v>251224.0</v>
      </c>
      <c r="C995" s="4"/>
      <c r="D995" s="7" t="s">
        <v>1897</v>
      </c>
      <c r="E995" s="8" t="str">
        <f>IFERROR(__xludf.DUMMYFUNCTION("IF(
  LEN(TRIM(D995))=0,
  ""왼쪽에 영어 문장을 입력하세요"",
  GOOGLETRANSLATE(D995,""en"",""ko"")
)"),"개가 간식을 잘 물지 않으니, 제가 개 앞에 간식을 놓아주면 됩니다.")</f>
        <v>개가 간식을 잘 물지 않으니, 제가 개 앞에 간식을 놓아주면 됩니다.</v>
      </c>
      <c r="F995" s="9" t="s">
        <v>1898</v>
      </c>
    </row>
    <row r="996" ht="20.25" customHeight="1">
      <c r="A996" s="5">
        <v>1062.0</v>
      </c>
      <c r="B996" s="6">
        <v>251224.0</v>
      </c>
      <c r="C996" s="4"/>
      <c r="D996" s="7" t="s">
        <v>1899</v>
      </c>
      <c r="E996" s="8" t="str">
        <f>IFERROR(__xludf.DUMMYFUNCTION("IF(
  LEN(TRIM(D996))=0,
  ""왼쪽에 영어 문장을 입력하세요"",
  GOOGLETRANSLATE(D996,""en"",""ko"")
)"),"헤어진 후 마음을 추스르는 데 몇 달이 걸렸어요.")</f>
        <v>헤어진 후 마음을 추스르는 데 몇 달이 걸렸어요.</v>
      </c>
      <c r="F996" s="9" t="s">
        <v>1900</v>
      </c>
    </row>
    <row r="997" ht="20.25" customHeight="1">
      <c r="A997" s="5">
        <v>1063.0</v>
      </c>
      <c r="B997" s="6">
        <v>251224.0</v>
      </c>
      <c r="C997" s="4"/>
      <c r="D997" s="7" t="s">
        <v>1901</v>
      </c>
      <c r="E997" s="8" t="str">
        <f>IFERROR(__xludf.DUMMYFUNCTION("IF(
  LEN(TRIM(D997))=0,
  ""왼쪽에 영어 문장을 입력하세요"",
  GOOGLETRANSLATE(D997,""en"",""ko"")
)"),"이 노래는 제가 겪고 있는 어려움을 떠올리게 해서 제 마음에 깊이 와닿습니다.")</f>
        <v>이 노래는 제가 겪고 있는 어려움을 떠올리게 해서 제 마음에 깊이 와닿습니다.</v>
      </c>
      <c r="F997" s="9" t="s">
        <v>1902</v>
      </c>
    </row>
    <row r="998" ht="20.25" customHeight="1">
      <c r="A998" s="5">
        <v>1064.0</v>
      </c>
      <c r="B998" s="6">
        <v>251224.0</v>
      </c>
      <c r="C998" s="4"/>
      <c r="D998" s="7" t="s">
        <v>1903</v>
      </c>
      <c r="E998" s="8" t="str">
        <f>IFERROR(__xludf.DUMMYFUNCTION("IF(
  LEN(TRIM(D998))=0,
  ""왼쪽에 영어 문장을 입력하세요"",
  GOOGLETRANSLATE(D998,""en"",""ko"")
)"),"내가 의견을 말하려고 할 때마다 그는 내 말을 끊고 자기 말만 해서 나는 한마디도 끼어들 수 없었다.")</f>
        <v>내가 의견을 말하려고 할 때마다 그는 내 말을 끊고 자기 말만 해서 나는 한마디도 끼어들 수 없었다.</v>
      </c>
      <c r="F998" s="9" t="s">
        <v>1904</v>
      </c>
    </row>
    <row r="999" ht="20.25" customHeight="1">
      <c r="A999" s="5">
        <v>1065.0</v>
      </c>
      <c r="B999" s="6">
        <v>251224.0</v>
      </c>
      <c r="C999" s="4"/>
      <c r="D999" s="7" t="s">
        <v>1905</v>
      </c>
      <c r="E999" s="8" t="str">
        <f>IFERROR(__xludf.DUMMYFUNCTION("IF(
  LEN(TRIM(D999))=0,
  ""왼쪽에 영어 문장을 입력하세요"",
  GOOGLETRANSLATE(D999,""en"",""ko"")
)"),"그는 너에게 못되게 굴었어")</f>
        <v>그는 너에게 못되게 굴었어</v>
      </c>
      <c r="F999" s="9" t="s">
        <v>1906</v>
      </c>
    </row>
    <row r="1000" ht="20.25" customHeight="1">
      <c r="A1000" s="5">
        <v>1066.0</v>
      </c>
      <c r="B1000" s="6">
        <v>251224.0</v>
      </c>
      <c r="C1000" s="4"/>
      <c r="D1000" s="7" t="s">
        <v>1907</v>
      </c>
      <c r="E1000" s="8" t="str">
        <f>IFERROR(__xludf.DUMMYFUNCTION("IF(
  LEN(TRIM(D1000))=0,
  ""왼쪽에 영어 문장을 입력하세요"",
  GOOGLETRANSLATE(D1000,""en"",""ko"")
)"),"이 클래식 자동차는 세월의 시험을 견뎌냈습니다.")</f>
        <v>이 클래식 자동차는 세월의 시험을 견뎌냈습니다.</v>
      </c>
      <c r="F1000" s="9" t="s">
        <v>1908</v>
      </c>
    </row>
    <row r="1001" ht="20.25" customHeight="1">
      <c r="A1001" s="5">
        <v>1067.0</v>
      </c>
      <c r="B1001" s="6">
        <v>251224.0</v>
      </c>
      <c r="C1001" s="4"/>
      <c r="D1001" s="7" t="s">
        <v>1909</v>
      </c>
      <c r="E1001" s="8" t="str">
        <f>IFERROR(__xludf.DUMMYFUNCTION("IF(
  LEN(TRIM(D1001))=0,
  ""왼쪽에 영어 문장을 입력하세요"",
  GOOGLETRANSLATE(D1001,""en"",""ko"")
)"),"멀쩡한 걸 굳이 고치려 들지 마.")</f>
        <v>멀쩡한 걸 굳이 고치려 들지 마.</v>
      </c>
      <c r="F1001" s="9" t="s">
        <v>1910</v>
      </c>
    </row>
    <row r="1002" ht="20.25" customHeight="1">
      <c r="A1002" s="5">
        <v>1068.0</v>
      </c>
      <c r="B1002" s="6">
        <v>251224.0</v>
      </c>
      <c r="C1002" s="4"/>
      <c r="D1002" s="7" t="s">
        <v>1911</v>
      </c>
      <c r="E1002" s="8" t="str">
        <f>IFERROR(__xludf.DUMMYFUNCTION("IF(
  LEN(TRIM(D1002))=0,
  ""왼쪽에 영어 문장을 입력하세요"",
  GOOGLETRANSLATE(D1002,""en"",""ko"")
)"),"이곳이나 이 식당에서 누가 주도권을 쥐고 있나요?")</f>
        <v>이곳이나 이 식당에서 누가 주도권을 쥐고 있나요?</v>
      </c>
      <c r="F1002" s="9" t="s">
        <v>1912</v>
      </c>
    </row>
    <row r="1003" ht="20.25" customHeight="1">
      <c r="A1003" s="5">
        <v>1069.0</v>
      </c>
      <c r="B1003" s="6">
        <v>251224.0</v>
      </c>
      <c r="C1003" s="4"/>
      <c r="D1003" s="7" t="s">
        <v>1913</v>
      </c>
      <c r="E1003" s="8" t="str">
        <f>IFERROR(__xludf.DUMMYFUNCTION("IF(
  LEN(TRIM(D1003))=0,
  ""왼쪽에 영어 문장을 입력하세요"",
  GOOGLETRANSLATE(D1003,""en"",""ko"")
)"),"당신은 할 일이 산더미 같네요.")</f>
        <v>당신은 할 일이 산더미 같네요.</v>
      </c>
      <c r="F1003" s="9" t="s">
        <v>1914</v>
      </c>
    </row>
    <row r="1004" ht="20.25" customHeight="1">
      <c r="A1004" s="5">
        <v>1070.0</v>
      </c>
      <c r="B1004" s="6">
        <v>251224.0</v>
      </c>
      <c r="C1004" s="4"/>
      <c r="D1004" s="7" t="s">
        <v>1915</v>
      </c>
      <c r="E1004" s="8" t="str">
        <f>IFERROR(__xludf.DUMMYFUNCTION("IF(
  LEN(TRIM(D1004))=0,
  ""왼쪽에 영어 문장을 입력하세요"",
  GOOGLETRANSLATE(D1004,""en"",""ko"")
)"),"내 상사가 여전히 모든 결정을 내린다.")</f>
        <v>내 상사가 여전히 모든 결정을 내린다.</v>
      </c>
      <c r="F1004" s="9" t="s">
        <v>1916</v>
      </c>
    </row>
    <row r="1005" ht="20.25" customHeight="1">
      <c r="A1005" s="5">
        <v>1071.0</v>
      </c>
      <c r="B1005" s="6">
        <v>251224.0</v>
      </c>
      <c r="C1005" s="4"/>
      <c r="D1005" s="7" t="s">
        <v>1917</v>
      </c>
      <c r="E1005" s="8" t="str">
        <f>IFERROR(__xludf.DUMMYFUNCTION("IF(
  LEN(TRIM(D1005))=0,
  ""왼쪽에 영어 문장을 입력하세요"",
  GOOGLETRANSLATE(D1005,""en"",""ko"")
)"),"그는 감당할 수 없는 상황에 처해 있었다.")</f>
        <v>그는 감당할 수 없는 상황에 처해 있었다.</v>
      </c>
      <c r="F1005" s="9" t="s">
        <v>1918</v>
      </c>
    </row>
    <row r="1006" ht="20.25" customHeight="1">
      <c r="A1006" s="5">
        <v>1072.0</v>
      </c>
      <c r="B1006" s="6">
        <v>251224.0</v>
      </c>
      <c r="C1006" s="4"/>
      <c r="D1006" s="7" t="s">
        <v>1919</v>
      </c>
      <c r="E1006" s="8" t="str">
        <f>IFERROR(__xludf.DUMMYFUNCTION("IF(
  LEN(TRIM(D1006))=0,
  ""왼쪽에 영어 문장을 입력하세요"",
  GOOGLETRANSLATE(D1006,""en"",""ko"")
)"),"내 낡은 옷들을 버리지 마세요")</f>
        <v>내 낡은 옷들을 버리지 마세요</v>
      </c>
      <c r="F1006" s="9" t="s">
        <v>1920</v>
      </c>
    </row>
    <row r="1007" ht="20.25" customHeight="1">
      <c r="A1007" s="5">
        <v>1073.0</v>
      </c>
      <c r="B1007" s="6">
        <v>251224.0</v>
      </c>
      <c r="C1007" s="4"/>
      <c r="D1007" s="7" t="s">
        <v>1921</v>
      </c>
      <c r="E1007" s="8" t="str">
        <f>IFERROR(__xludf.DUMMYFUNCTION("IF(
  LEN(TRIM(D1007))=0,
  ""왼쪽에 영어 문장을 입력하세요"",
  GOOGLETRANSLATE(D1007,""en"",""ko"")
)"),"아이들을 설득하는 건 쉽지 않을 거예요.")</f>
        <v>아이들을 설득하는 건 쉽지 않을 거예요.</v>
      </c>
      <c r="F1007" s="9" t="s">
        <v>1922</v>
      </c>
    </row>
    <row r="1008" ht="20.25" customHeight="1">
      <c r="A1008" s="5">
        <v>1074.0</v>
      </c>
      <c r="B1008" s="6">
        <v>251224.0</v>
      </c>
      <c r="C1008" s="4"/>
      <c r="D1008" s="7" t="s">
        <v>1923</v>
      </c>
      <c r="E1008" s="8" t="str">
        <f>IFERROR(__xludf.DUMMYFUNCTION("IF(
  LEN(TRIM(D1008))=0,
  ""왼쪽에 영어 문장을 입력하세요"",
  GOOGLETRANSLATE(D1008,""en"",""ko"")
)"),"너무 바쁘시면 제가 회의에 대신 참석할 수 있습니다.")</f>
        <v>너무 바쁘시면 제가 회의에 대신 참석할 수 있습니다.</v>
      </c>
      <c r="F1008" s="9" t="s">
        <v>1924</v>
      </c>
    </row>
    <row r="1009" ht="20.25" customHeight="1">
      <c r="A1009" s="5">
        <v>1075.0</v>
      </c>
      <c r="B1009" s="6">
        <v>251224.0</v>
      </c>
      <c r="C1009" s="4"/>
      <c r="D1009" s="7" t="s">
        <v>1925</v>
      </c>
      <c r="E1009" s="8" t="str">
        <f>IFERROR(__xludf.DUMMYFUNCTION("IF(
  LEN(TRIM(D1009))=0,
  ""왼쪽에 영어 문장을 입력하세요"",
  GOOGLETRANSLATE(D1009,""en"",""ko"")
)"),"최악의 경우, 나중에 출발하는 비행기를 탈 수도 있으니까요.")</f>
        <v>최악의 경우, 나중에 출발하는 비행기를 탈 수도 있으니까요.</v>
      </c>
      <c r="F1009" s="9" t="s">
        <v>1926</v>
      </c>
    </row>
    <row r="1010" ht="20.25" customHeight="1">
      <c r="A1010" s="5">
        <v>1076.0</v>
      </c>
      <c r="B1010" s="6">
        <v>251224.0</v>
      </c>
      <c r="C1010" s="4"/>
      <c r="D1010" s="7" t="s">
        <v>1927</v>
      </c>
      <c r="E1010" s="8" t="str">
        <f>IFERROR(__xludf.DUMMYFUNCTION("IF(
  LEN(TRIM(D1010))=0,
  ""왼쪽에 영어 문장을 입력하세요"",
  GOOGLETRANSLATE(D1010,""en"",""ko"")
)"),"늦은 밤에 음식을 먹으면 소화 기능에 문제가 생길 수 있습니다.")</f>
        <v>늦은 밤에 음식을 먹으면 소화 기능에 문제가 생길 수 있습니다.</v>
      </c>
      <c r="F1010" s="9" t="s">
        <v>1928</v>
      </c>
    </row>
    <row r="1011" ht="20.25" customHeight="1">
      <c r="A1011" s="5">
        <v>1077.0</v>
      </c>
      <c r="B1011" s="6">
        <v>251224.0</v>
      </c>
      <c r="C1011" s="4"/>
      <c r="D1011" s="7" t="s">
        <v>1929</v>
      </c>
      <c r="E1011" s="8" t="str">
        <f>IFERROR(__xludf.DUMMYFUNCTION("IF(
  LEN(TRIM(D1011))=0,
  ""왼쪽에 영어 문장을 입력하세요"",
  GOOGLETRANSLATE(D1011,""en"",""ko"")
)"),"그는 완전히 뻗어버렸다.")</f>
        <v>그는 완전히 뻗어버렸다.</v>
      </c>
      <c r="F1011" s="9" t="s">
        <v>1930</v>
      </c>
    </row>
    <row r="1012" ht="20.25" customHeight="1">
      <c r="A1012" s="5">
        <v>1078.0</v>
      </c>
      <c r="B1012" s="6">
        <v>251224.0</v>
      </c>
      <c r="C1012" s="4"/>
      <c r="D1012" s="7" t="s">
        <v>1931</v>
      </c>
      <c r="E1012" s="8" t="str">
        <f>IFERROR(__xludf.DUMMYFUNCTION("IF(
  LEN(TRIM(D1012))=0,
  ""왼쪽에 영어 문장을 입력하세요"",
  GOOGLETRANSLATE(D1012,""en"",""ko"")
)"),"푹 빠져버렸어~")</f>
        <v>푹 빠져버렸어~</v>
      </c>
      <c r="F1012" s="9" t="s">
        <v>1932</v>
      </c>
    </row>
    <row r="1013" ht="20.25" customHeight="1">
      <c r="A1013" s="5">
        <v>1079.0</v>
      </c>
      <c r="B1013" s="6">
        <v>251224.0</v>
      </c>
      <c r="C1013" s="4"/>
      <c r="D1013" s="7" t="s">
        <v>1933</v>
      </c>
      <c r="E1013" s="8" t="str">
        <f>IFERROR(__xludf.DUMMYFUNCTION("IF(
  LEN(TRIM(D1013))=0,
  ""왼쪽에 영어 문장을 입력하세요"",
  GOOGLETRANSLATE(D1013,""en"",""ko"")
)"),"마지막 숨결에")</f>
        <v>마지막 숨결에</v>
      </c>
      <c r="F1013" s="9" t="s">
        <v>1934</v>
      </c>
    </row>
    <row r="1014" ht="20.25" customHeight="1">
      <c r="A1014" s="5">
        <v>1080.0</v>
      </c>
      <c r="B1014" s="6">
        <v>251224.0</v>
      </c>
      <c r="C1014" s="4"/>
      <c r="D1014" s="7" t="s">
        <v>1935</v>
      </c>
      <c r="E1014" s="8" t="str">
        <f>IFERROR(__xludf.DUMMYFUNCTION("IF(
  LEN(TRIM(D1014))=0,
  ""왼쪽에 영어 문장을 입력하세요"",
  GOOGLETRANSLATE(D1014,""en"",""ko"")
)"),"일을 하다")</f>
        <v>일을 하다</v>
      </c>
      <c r="F1014" s="9" t="s">
        <v>1936</v>
      </c>
    </row>
    <row r="1015" ht="20.25" customHeight="1">
      <c r="A1015" s="5">
        <v>1081.0</v>
      </c>
      <c r="B1015" s="6">
        <v>251224.0</v>
      </c>
      <c r="C1015" s="4"/>
      <c r="D1015" s="7" t="s">
        <v>1937</v>
      </c>
      <c r="E1015" s="8" t="str">
        <f>IFERROR(__xludf.DUMMYFUNCTION("IF(
  LEN(TRIM(D1015))=0,
  ""왼쪽에 영어 문장을 입력하세요"",
  GOOGLETRANSLATE(D1015,""en"",""ko"")
)"),"땅을 준비하세요")</f>
        <v>땅을 준비하세요</v>
      </c>
      <c r="F1015" s="9" t="s">
        <v>1938</v>
      </c>
    </row>
    <row r="1016" ht="20.25" customHeight="1">
      <c r="A1016" s="5">
        <v>1082.0</v>
      </c>
      <c r="B1016" s="6">
        <v>251224.0</v>
      </c>
      <c r="C1016" s="4"/>
      <c r="D1016" s="7" t="s">
        <v>1939</v>
      </c>
      <c r="E1016" s="8" t="str">
        <f>IFERROR(__xludf.DUMMYFUNCTION("IF(
  LEN(TRIM(D1016))=0,
  ""왼쪽에 영어 문장을 입력하세요"",
  GOOGLETRANSLATE(D1016,""en"",""ko"")
)"),"미소")</f>
        <v>미소</v>
      </c>
      <c r="F1016" s="9" t="s">
        <v>1940</v>
      </c>
    </row>
    <row r="1017" ht="20.25" customHeight="1">
      <c r="A1017" s="5">
        <v>1083.0</v>
      </c>
      <c r="B1017" s="6">
        <v>251224.0</v>
      </c>
      <c r="C1017" s="4"/>
      <c r="D1017" s="7" t="s">
        <v>1941</v>
      </c>
      <c r="E1017" s="8" t="str">
        <f>IFERROR(__xludf.DUMMYFUNCTION("IF(
  LEN(TRIM(D1017))=0,
  ""왼쪽에 영어 문장을 입력하세요"",
  GOOGLETRANSLATE(D1017,""en"",""ko"")
)"),"자유를 향한 갈망")</f>
        <v>자유를 향한 갈망</v>
      </c>
      <c r="F1017" s="9" t="s">
        <v>1942</v>
      </c>
    </row>
    <row r="1018" ht="20.25" customHeight="1">
      <c r="A1018" s="5">
        <v>1084.0</v>
      </c>
      <c r="B1018" s="6">
        <v>251224.0</v>
      </c>
      <c r="C1018" s="4"/>
      <c r="D1018" s="7" t="s">
        <v>1943</v>
      </c>
      <c r="E1018" s="8" t="str">
        <f>IFERROR(__xludf.DUMMYFUNCTION("IF(
  LEN(TRIM(D1018))=0,
  ""왼쪽에 영어 문장을 입력하세요"",
  GOOGLETRANSLATE(D1018,""en"",""ko"")
)"),"무언가의 징후를 보이다")</f>
        <v>무언가의 징후를 보이다</v>
      </c>
      <c r="F1018" s="9" t="s">
        <v>1944</v>
      </c>
    </row>
    <row r="1019" ht="20.25" customHeight="1">
      <c r="A1019" s="5">
        <v>1085.0</v>
      </c>
      <c r="B1019" s="6">
        <v>251224.0</v>
      </c>
      <c r="C1019" s="4"/>
      <c r="D1019" s="7" t="s">
        <v>1945</v>
      </c>
      <c r="E1019" s="8" t="str">
        <f>IFERROR(__xludf.DUMMYFUNCTION("IF(
  LEN(TRIM(D1019))=0,
  ""왼쪽에 영어 문장을 입력하세요"",
  GOOGLETRANSLATE(D1019,""en"",""ko"")
)"),"~에 통증이 있어요")</f>
        <v>~에 통증이 있어요</v>
      </c>
      <c r="F1019" s="9" t="s">
        <v>1946</v>
      </c>
    </row>
    <row r="1020" ht="20.25" customHeight="1">
      <c r="A1020" s="5">
        <v>1086.0</v>
      </c>
      <c r="B1020" s="6">
        <v>251224.0</v>
      </c>
      <c r="C1020" s="4"/>
      <c r="D1020" s="7" t="s">
        <v>1947</v>
      </c>
      <c r="E1020" s="8" t="str">
        <f>IFERROR(__xludf.DUMMYFUNCTION("IF(
  LEN(TRIM(D1020))=0,
  ""왼쪽에 영어 문장을 입력하세요"",
  GOOGLETRANSLATE(D1020,""en"",""ko"")
)"),"~와 경쟁하다")</f>
        <v>~와 경쟁하다</v>
      </c>
      <c r="F1020" s="9" t="s">
        <v>1948</v>
      </c>
    </row>
    <row r="1021" ht="20.25" customHeight="1">
      <c r="A1021" s="5">
        <v>1087.0</v>
      </c>
      <c r="B1021" s="6">
        <v>251224.0</v>
      </c>
      <c r="C1021" s="4"/>
      <c r="D1021" s="7" t="s">
        <v>1949</v>
      </c>
      <c r="E1021" s="8" t="str">
        <f>IFERROR(__xludf.DUMMYFUNCTION("IF(
  LEN(TRIM(D1021))=0,
  ""왼쪽에 영어 문장을 입력하세요"",
  GOOGLETRANSLATE(D1021,""en"",""ko"")
)"),"제자리에 놓이다:")</f>
        <v>제자리에 놓이다:</v>
      </c>
      <c r="F1021" s="9" t="s">
        <v>1950</v>
      </c>
    </row>
    <row r="1022" ht="20.25" customHeight="1">
      <c r="A1022" s="5">
        <v>1088.0</v>
      </c>
      <c r="B1022" s="6">
        <v>251224.0</v>
      </c>
      <c r="C1022" s="4"/>
      <c r="D1022" s="7" t="s">
        <v>1951</v>
      </c>
      <c r="E1022" s="8" t="str">
        <f>IFERROR(__xludf.DUMMYFUNCTION("IF(
  LEN(TRIM(D1022))=0,
  ""왼쪽에 영어 문장을 입력하세요"",
  GOOGLETRANSLATE(D1022,""en"",""ko"")
)"),"갈망하다")</f>
        <v>갈망하다</v>
      </c>
      <c r="F1022" s="9" t="s">
        <v>1952</v>
      </c>
    </row>
    <row r="1023" ht="20.25" customHeight="1">
      <c r="A1023" s="5">
        <v>1089.0</v>
      </c>
      <c r="B1023" s="6">
        <v>251224.0</v>
      </c>
      <c r="C1023" s="4"/>
      <c r="D1023" s="7" t="s">
        <v>1953</v>
      </c>
      <c r="E1023" s="8" t="str">
        <f>IFERROR(__xludf.DUMMYFUNCTION("IF(
  LEN(TRIM(D1023))=0,
  ""왼쪽에 영어 문장을 입력하세요"",
  GOOGLETRANSLATE(D1023,""en"",""ko"")
)"),"유연하게 만들다")</f>
        <v>유연하게 만들다</v>
      </c>
      <c r="F1023" s="9" t="s">
        <v>1954</v>
      </c>
    </row>
    <row r="1024" ht="20.25" customHeight="1">
      <c r="A1024" s="5">
        <v>1090.0</v>
      </c>
      <c r="B1024" s="6">
        <v>251224.0</v>
      </c>
      <c r="C1024" s="4"/>
      <c r="D1024" s="7" t="s">
        <v>1955</v>
      </c>
      <c r="E1024" s="8" t="str">
        <f>IFERROR(__xludf.DUMMYFUNCTION("IF(
  LEN(TRIM(D1024))=0,
  ""왼쪽에 영어 문장을 입력하세요"",
  GOOGLETRANSLATE(D1024,""en"",""ko"")
)"),"무모한")</f>
        <v>무모한</v>
      </c>
      <c r="F1024" s="9" t="s">
        <v>1956</v>
      </c>
    </row>
    <row r="1025" ht="20.25" customHeight="1">
      <c r="A1025" s="5">
        <v>1091.0</v>
      </c>
      <c r="B1025" s="6">
        <v>251224.0</v>
      </c>
      <c r="C1025" s="4"/>
      <c r="D1025" s="7" t="s">
        <v>1957</v>
      </c>
      <c r="E1025" s="8" t="str">
        <f>IFERROR(__xludf.DUMMYFUNCTION("IF(
  LEN(TRIM(D1025))=0,
  ""왼쪽에 영어 문장을 입력하세요"",
  GOOGLETRANSLATE(D1025,""en"",""ko"")
)"),"이열치열")</f>
        <v>이열치열</v>
      </c>
      <c r="F1025" s="9" t="s">
        <v>1958</v>
      </c>
    </row>
    <row r="1026" ht="20.25" customHeight="1">
      <c r="A1026" s="5">
        <v>1092.0</v>
      </c>
      <c r="B1026" s="6">
        <v>251224.0</v>
      </c>
      <c r="C1026" s="4"/>
      <c r="D1026" s="7" t="s">
        <v>1959</v>
      </c>
      <c r="E1026" s="8" t="str">
        <f>IFERROR(__xludf.DUMMYFUNCTION("IF(
  LEN(TRIM(D1026))=0,
  ""왼쪽에 영어 문장을 입력하세요"",
  GOOGLETRANSLATE(D1026,""en"",""ko"")
)"),"열광의 절정")</f>
        <v>열광의 절정</v>
      </c>
      <c r="F1026" s="9" t="s">
        <v>1960</v>
      </c>
    </row>
    <row r="1027" ht="20.25" customHeight="1">
      <c r="A1027" s="5">
        <v>1093.0</v>
      </c>
      <c r="B1027" s="6">
        <v>251224.0</v>
      </c>
      <c r="C1027" s="4"/>
      <c r="D1027" s="7" t="s">
        <v>1961</v>
      </c>
      <c r="E1027" s="8" t="str">
        <f>IFERROR(__xludf.DUMMYFUNCTION("IF(
  LEN(TRIM(D1027))=0,
  ""왼쪽에 영어 문장을 입력하세요"",
  GOOGLETRANSLATE(D1027,""en"",""ko"")
)"),"~을 충족시키다")</f>
        <v>~을 충족시키다</v>
      </c>
      <c r="F1027" s="9" t="s">
        <v>1962</v>
      </c>
    </row>
    <row r="1028" ht="20.25" customHeight="1">
      <c r="A1028" s="5">
        <v>1094.0</v>
      </c>
      <c r="B1028" s="6">
        <v>251224.0</v>
      </c>
      <c r="C1028" s="4"/>
      <c r="D1028" s="7" t="s">
        <v>1963</v>
      </c>
      <c r="E1028" s="8" t="str">
        <f>IFERROR(__xludf.DUMMYFUNCTION("IF(
  LEN(TRIM(D1028))=0,
  ""왼쪽에 영어 문장을 입력하세요"",
  GOOGLETRANSLATE(D1028,""en"",""ko"")
)"),"시간 제한 플레이")</f>
        <v>시간 제한 플레이</v>
      </c>
      <c r="F1028" s="9" t="s">
        <v>1964</v>
      </c>
    </row>
    <row r="1029" ht="20.25" customHeight="1">
      <c r="A1029" s="5">
        <v>1095.0</v>
      </c>
      <c r="B1029" s="6">
        <v>251224.0</v>
      </c>
      <c r="C1029" s="4"/>
      <c r="D1029" s="7" t="s">
        <v>1965</v>
      </c>
      <c r="E1029" s="8" t="str">
        <f>IFERROR(__xludf.DUMMYFUNCTION("IF(
  LEN(TRIM(D1029))=0,
  ""왼쪽에 영어 문장을 입력하세요"",
  GOOGLETRANSLATE(D1029,""en"",""ko"")
)"),"보고해 주세요")</f>
        <v>보고해 주세요</v>
      </c>
      <c r="F1029" s="9" t="s">
        <v>1966</v>
      </c>
    </row>
    <row r="1030" ht="20.25" customHeight="1">
      <c r="A1030" s="5">
        <v>1096.0</v>
      </c>
      <c r="B1030" s="6">
        <v>251224.0</v>
      </c>
      <c r="C1030" s="4"/>
      <c r="D1030" s="7" t="s">
        <v>1967</v>
      </c>
      <c r="E1030" s="8" t="str">
        <f>IFERROR(__xludf.DUMMYFUNCTION("IF(
  LEN(TRIM(D1030))=0,
  ""왼쪽에 영어 문장을 입력하세요"",
  GOOGLETRANSLATE(D1030,""en"",""ko"")
)"),"다이 하드")</f>
        <v>다이 하드</v>
      </c>
      <c r="F1030" s="9" t="s">
        <v>1968</v>
      </c>
    </row>
    <row r="1031" ht="20.25" customHeight="1">
      <c r="A1031" s="5">
        <v>1097.0</v>
      </c>
      <c r="B1031" s="6">
        <v>251224.0</v>
      </c>
      <c r="C1031" s="4"/>
      <c r="D1031" s="7" t="s">
        <v>1969</v>
      </c>
      <c r="E1031" s="8" t="str">
        <f>IFERROR(__xludf.DUMMYFUNCTION("IF(
  LEN(TRIM(D1031))=0,
  ""왼쪽에 영어 문장을 입력하세요"",
  GOOGLETRANSLATE(D1031,""en"",""ko"")
)"),"전선을 유지하세요")</f>
        <v>전선을 유지하세요</v>
      </c>
      <c r="F1031" s="9" t="s">
        <v>1970</v>
      </c>
    </row>
    <row r="1032" ht="20.25" customHeight="1">
      <c r="A1032" s="5">
        <v>1098.0</v>
      </c>
      <c r="B1032" s="6">
        <v>251224.0</v>
      </c>
      <c r="C1032" s="4"/>
      <c r="D1032" s="7" t="s">
        <v>1971</v>
      </c>
      <c r="E1032" s="8" t="str">
        <f>IFERROR(__xludf.DUMMYFUNCTION("IF(
  LEN(TRIM(D1032))=0,
  ""왼쪽에 영어 문장을 입력하세요"",
  GOOGLETRANSLATE(D1032,""en"",""ko"")
)"),"답변해 주세요")</f>
        <v>답변해 주세요</v>
      </c>
      <c r="F1032" s="9" t="s">
        <v>1972</v>
      </c>
    </row>
    <row r="1033" ht="20.25" customHeight="1">
      <c r="A1033" s="5">
        <v>1099.0</v>
      </c>
      <c r="B1033" s="6">
        <v>251224.0</v>
      </c>
      <c r="C1033" s="4"/>
      <c r="D1033" s="7" t="s">
        <v>1973</v>
      </c>
      <c r="E1033" s="8" t="str">
        <f>IFERROR(__xludf.DUMMYFUNCTION("IF(
  LEN(TRIM(D1033))=0,
  ""왼쪽에 영어 문장을 입력하세요"",
  GOOGLETRANSLATE(D1033,""en"",""ko"")
)"),"줄을 따라가다")</f>
        <v>줄을 따라가다</v>
      </c>
      <c r="F1033" s="9" t="s">
        <v>1974</v>
      </c>
    </row>
    <row r="1034" ht="20.25" customHeight="1">
      <c r="A1034" s="5">
        <v>1100.0</v>
      </c>
      <c r="B1034" s="6">
        <v>251224.0</v>
      </c>
      <c r="C1034" s="4"/>
      <c r="D1034" s="7" t="s">
        <v>1975</v>
      </c>
      <c r="E1034" s="8" t="str">
        <f>IFERROR(__xludf.DUMMYFUNCTION("IF(
  LEN(TRIM(D1034))=0,
  ""왼쪽에 영어 문장을 입력하세요"",
  GOOGLETRANSLATE(D1034,""en"",""ko"")
)"),"제가 할 수 있도록 허락해 주세요")</f>
        <v>제가 할 수 있도록 허락해 주세요</v>
      </c>
      <c r="F1034" s="9" t="s">
        <v>1976</v>
      </c>
    </row>
    <row r="1035" ht="20.25" customHeight="1">
      <c r="A1035" s="5">
        <v>1101.0</v>
      </c>
      <c r="B1035" s="6">
        <v>251224.0</v>
      </c>
      <c r="C1035" s="4"/>
      <c r="D1035" s="7" t="s">
        <v>1977</v>
      </c>
      <c r="E1035" s="8" t="str">
        <f>IFERROR(__xludf.DUMMYFUNCTION("IF(
  LEN(TRIM(D1035))=0,
  ""왼쪽에 영어 문장을 입력하세요"",
  GOOGLETRANSLATE(D1035,""en"",""ko"")
)"),"두 가지 모두를 가지세요")</f>
        <v>두 가지 모두를 가지세요</v>
      </c>
      <c r="F1035" s="9" t="s">
        <v>1978</v>
      </c>
    </row>
    <row r="1036" ht="20.25" customHeight="1">
      <c r="A1036" s="5">
        <v>1102.0</v>
      </c>
      <c r="B1036" s="6">
        <v>251224.0</v>
      </c>
      <c r="C1036" s="4"/>
      <c r="D1036" s="7" t="s">
        <v>1979</v>
      </c>
      <c r="E1036" s="8" t="str">
        <f>IFERROR(__xludf.DUMMYFUNCTION("IF(
  LEN(TRIM(D1036))=0,
  ""왼쪽에 영어 문장을 입력하세요"",
  GOOGLETRANSLATE(D1036,""en"",""ko"")
)"),"어깨 너머로 보다")</f>
        <v>어깨 너머로 보다</v>
      </c>
      <c r="F1036" s="9" t="s">
        <v>1980</v>
      </c>
    </row>
    <row r="1037" ht="20.25" customHeight="1">
      <c r="A1037" s="5">
        <v>1103.0</v>
      </c>
      <c r="B1037" s="6">
        <v>251224.0</v>
      </c>
      <c r="C1037" s="4"/>
      <c r="D1037" s="7" t="s">
        <v>1981</v>
      </c>
      <c r="E1037" s="8" t="str">
        <f>IFERROR(__xludf.DUMMYFUNCTION("IF(
  LEN(TRIM(D1037))=0,
  ""왼쪽에 영어 문장을 입력하세요"",
  GOOGLETRANSLATE(D1037,""en"",""ko"")
)"),"포기하다")</f>
        <v>포기하다</v>
      </c>
      <c r="F1037" s="9" t="s">
        <v>1982</v>
      </c>
    </row>
    <row r="1038" ht="20.25" customHeight="1">
      <c r="A1038" s="5">
        <v>1104.0</v>
      </c>
      <c r="B1038" s="6">
        <v>251224.0</v>
      </c>
      <c r="C1038" s="4"/>
      <c r="D1038" s="7" t="s">
        <v>1983</v>
      </c>
      <c r="E1038" s="8" t="str">
        <f>IFERROR(__xludf.DUMMYFUNCTION("IF(
  LEN(TRIM(D1038))=0,
  ""왼쪽에 영어 문장을 입력하세요"",
  GOOGLETRANSLATE(D1038,""en"",""ko"")
)"),"누군가의 눈 사이를 때리다")</f>
        <v>누군가의 눈 사이를 때리다</v>
      </c>
      <c r="F1038" s="9" t="s">
        <v>1984</v>
      </c>
    </row>
    <row r="1039" ht="20.25" customHeight="1">
      <c r="A1039" s="5">
        <v>1105.0</v>
      </c>
      <c r="B1039" s="6">
        <v>251224.0</v>
      </c>
      <c r="C1039" s="4"/>
      <c r="D1039" s="7" t="s">
        <v>1985</v>
      </c>
      <c r="E1039" s="8" t="str">
        <f>IFERROR(__xludf.DUMMYFUNCTION("IF(
  LEN(TRIM(D1039))=0,
  ""왼쪽에 영어 문장을 입력하세요"",
  GOOGLETRANSLATE(D1039,""en"",""ko"")
)"),"뿌리를 내리다")</f>
        <v>뿌리를 내리다</v>
      </c>
      <c r="F1039" s="9" t="s">
        <v>1986</v>
      </c>
    </row>
    <row r="1040" ht="20.25" customHeight="1">
      <c r="A1040" s="5">
        <v>1106.0</v>
      </c>
      <c r="B1040" s="6">
        <v>251224.0</v>
      </c>
      <c r="C1040" s="4"/>
      <c r="D1040" s="7" t="s">
        <v>1987</v>
      </c>
      <c r="E1040" s="8" t="str">
        <f>IFERROR(__xludf.DUMMYFUNCTION("IF(
  LEN(TRIM(D1040))=0,
  ""왼쪽에 영어 문장을 입력하세요"",
  GOOGLETRANSLATE(D1040,""en"",""ko"")
)"),"거짓된 삶을 살다")</f>
        <v>거짓된 삶을 살다</v>
      </c>
      <c r="F1040" s="9" t="s">
        <v>1988</v>
      </c>
    </row>
    <row r="1041" ht="20.25" customHeight="1">
      <c r="A1041" s="5">
        <v>1107.0</v>
      </c>
      <c r="B1041" s="6">
        <v>251224.0</v>
      </c>
      <c r="C1041" s="4"/>
      <c r="D1041" s="7" t="s">
        <v>1989</v>
      </c>
      <c r="E1041" s="8" t="str">
        <f>IFERROR(__xludf.DUMMYFUNCTION("IF(
  LEN(TRIM(D1041))=0,
  ""왼쪽에 영어 문장을 입력하세요"",
  GOOGLETRANSLATE(D1041,""en"",""ko"")
)"),"책임을 전가하다")</f>
        <v>책임을 전가하다</v>
      </c>
      <c r="F1041" s="9" t="s">
        <v>1990</v>
      </c>
    </row>
    <row r="1042" ht="20.25" customHeight="1">
      <c r="A1042" s="5">
        <v>1108.0</v>
      </c>
      <c r="B1042" s="6">
        <v>251224.0</v>
      </c>
      <c r="C1042" s="4"/>
      <c r="D1042" s="7" t="s">
        <v>1991</v>
      </c>
      <c r="E1042" s="8" t="str">
        <f>IFERROR(__xludf.DUMMYFUNCTION("IF(
  LEN(TRIM(D1042))=0,
  ""왼쪽에 영어 문장을 입력하세요"",
  GOOGLETRANSLATE(D1042,""en"",""ko"")
)"),"누군가의 계정으로")</f>
        <v>누군가의 계정으로</v>
      </c>
      <c r="F1042" s="9" t="s">
        <v>1992</v>
      </c>
    </row>
    <row r="1043" ht="20.25" customHeight="1">
      <c r="A1043" s="5">
        <v>1109.0</v>
      </c>
      <c r="B1043" s="6">
        <v>251224.0</v>
      </c>
      <c r="C1043" s="4"/>
      <c r="D1043" s="7" t="s">
        <v>1993</v>
      </c>
      <c r="E1043" s="8" t="str">
        <f>IFERROR(__xludf.DUMMYFUNCTION("IF(
  LEN(TRIM(D1043))=0,
  ""왼쪽에 영어 문장을 입력하세요"",
  GOOGLETRANSLATE(D1043,""en"",""ko"")
)"),"함께 모으세요")</f>
        <v>함께 모으세요</v>
      </c>
      <c r="F1043" s="9" t="s">
        <v>1994</v>
      </c>
    </row>
    <row r="1044" ht="20.25" customHeight="1">
      <c r="A1044" s="5">
        <v>1110.0</v>
      </c>
      <c r="B1044" s="6">
        <v>251224.0</v>
      </c>
      <c r="C1044" s="4"/>
      <c r="D1044" s="7" t="s">
        <v>1995</v>
      </c>
      <c r="E1044" s="8" t="str">
        <f>IFERROR(__xludf.DUMMYFUNCTION("IF(
  LEN(TRIM(D1044))=0,
  ""왼쪽에 영어 문장을 입력하세요"",
  GOOGLETRANSLATE(D1044,""en"",""ko"")
)"),"마음속으로 들어가다")</f>
        <v>마음속으로 들어가다</v>
      </c>
      <c r="F1044" s="9" t="s">
        <v>1996</v>
      </c>
    </row>
    <row r="1045" ht="20.25" customHeight="1">
      <c r="A1045" s="5">
        <v>1111.0</v>
      </c>
      <c r="B1045" s="6">
        <v>251224.0</v>
      </c>
      <c r="C1045" s="4"/>
      <c r="D1045" s="7" t="s">
        <v>1997</v>
      </c>
      <c r="E1045" s="8" t="str">
        <f>IFERROR(__xludf.DUMMYFUNCTION("IF(
  LEN(TRIM(D1045))=0,
  ""왼쪽에 영어 문장을 입력하세요"",
  GOOGLETRANSLATE(D1045,""en"",""ko"")
)"),"그들은 서로에게 푹 빠져 사랑에 빠졌다.")</f>
        <v>그들은 서로에게 푹 빠져 사랑에 빠졌다.</v>
      </c>
      <c r="F1045" s="9" t="s">
        <v>1998</v>
      </c>
    </row>
    <row r="1046" ht="20.25" customHeight="1">
      <c r="A1046" s="5">
        <v>1112.0</v>
      </c>
      <c r="B1046" s="6">
        <v>251224.0</v>
      </c>
      <c r="C1046" s="4"/>
      <c r="D1046" s="7" t="s">
        <v>1999</v>
      </c>
      <c r="E1046" s="8" t="str">
        <f>IFERROR(__xludf.DUMMYFUNCTION("IF(
  LEN(TRIM(D1046))=0,
  ""왼쪽에 영어 문장을 입력하세요"",
  GOOGLETRANSLATE(D1046,""en"",""ko"")
)"),"그녀는 마지막 숨을 헐떡이며 마침내 나타났다.")</f>
        <v>그녀는 마지막 숨을 헐떡이며 마침내 나타났다.</v>
      </c>
      <c r="F1046" s="9" t="s">
        <v>2000</v>
      </c>
    </row>
    <row r="1047" ht="20.25" customHeight="1">
      <c r="A1047" s="5">
        <v>1113.0</v>
      </c>
      <c r="B1047" s="6">
        <v>251224.0</v>
      </c>
      <c r="C1047" s="4"/>
      <c r="D1047" s="7" t="s">
        <v>2001</v>
      </c>
      <c r="E1047" s="8" t="str">
        <f>IFERROR(__xludf.DUMMYFUNCTION("IF(
  LEN(TRIM(D1047))=0,
  ""왼쪽에 영어 문장을 입력하세요"",
  GOOGLETRANSLATE(D1047,""en"",""ko"")
)"),"강아지가 거실 카펫에 오줌을 쌌어요.")</f>
        <v>강아지가 거실 카펫에 오줌을 쌌어요.</v>
      </c>
      <c r="F1047" s="9" t="s">
        <v>2002</v>
      </c>
    </row>
    <row r="1048" ht="20.25" customHeight="1">
      <c r="A1048" s="5">
        <v>1115.0</v>
      </c>
      <c r="B1048" s="6">
        <v>251224.0</v>
      </c>
      <c r="C1048" s="4"/>
      <c r="D1048" s="7" t="s">
        <v>2003</v>
      </c>
      <c r="E1048" s="8" t="str">
        <f>IFERROR(__xludf.DUMMYFUNCTION("IF(
  LEN(TRIM(D1048))=0,
  ""왼쪽에 영어 문장을 입력하세요"",
  GOOGLETRANSLATE(D1048,""en"",""ko"")
)"),"우리는 그 일을 위한 기반을 마련하고 있습니다.")</f>
        <v>우리는 그 일을 위한 기반을 마련하고 있습니다.</v>
      </c>
      <c r="F1048" s="9" t="s">
        <v>2004</v>
      </c>
    </row>
    <row r="1049" ht="20.25" customHeight="1">
      <c r="A1049" s="5">
        <v>1116.0</v>
      </c>
      <c r="B1049" s="6">
        <v>251224.0</v>
      </c>
      <c r="C1049" s="4"/>
      <c r="D1049" s="7" t="s">
        <v>2005</v>
      </c>
      <c r="E1049" s="8" t="str">
        <f>IFERROR(__xludf.DUMMYFUNCTION("IF(
  LEN(TRIM(D1049))=0,
  ""왼쪽에 영어 문장을 입력하세요"",
  GOOGLETRANSLATE(D1049,""en"",""ko"")
)"),"드디어 운명이 내게 미소를 지어주었구나!")</f>
        <v>드디어 운명이 내게 미소를 지어주었구나!</v>
      </c>
      <c r="F1049" s="9" t="s">
        <v>2006</v>
      </c>
    </row>
    <row r="1050" ht="20.25" customHeight="1">
      <c r="A1050" s="5">
        <v>1117.0</v>
      </c>
      <c r="B1050" s="6">
        <v>251224.0</v>
      </c>
      <c r="C1050" s="4"/>
      <c r="D1050" s="7" t="s">
        <v>2007</v>
      </c>
      <c r="E1050" s="8" t="str">
        <f>IFERROR(__xludf.DUMMYFUNCTION("IF(
  LEN(TRIM(D1050))=0,
  ""왼쪽에 영어 문장을 입력하세요"",
  GOOGLETRANSLATE(D1050,""en"",""ko"")
)"),"시위대는 자유에 대한 열망을 보여주었다.")</f>
        <v>시위대는 자유에 대한 열망을 보여주었다.</v>
      </c>
      <c r="F1050" s="9" t="s">
        <v>2008</v>
      </c>
    </row>
    <row r="1051" ht="20.25" customHeight="1">
      <c r="A1051" s="5">
        <v>1119.0</v>
      </c>
      <c r="B1051" s="6">
        <v>251224.0</v>
      </c>
      <c r="C1051" s="4"/>
      <c r="D1051" s="7" t="s">
        <v>2009</v>
      </c>
      <c r="E1051" s="8" t="str">
        <f>IFERROR(__xludf.DUMMYFUNCTION("IF(
  LEN(TRIM(D1051))=0,
  ""왼쪽에 영어 문장을 입력하세요"",
  GOOGLETRANSLATE(D1051,""en"",""ko"")
)"),"길동은 잠들 준비를 하는 기색을 보이고 있습니다.")</f>
        <v>길동은 잠들 준비를 하는 기색을 보이고 있습니다.</v>
      </c>
      <c r="F1051" s="9" t="s">
        <v>2010</v>
      </c>
    </row>
    <row r="1052" ht="20.25" customHeight="1">
      <c r="A1052" s="5">
        <v>1120.0</v>
      </c>
      <c r="B1052" s="6">
        <v>251224.0</v>
      </c>
      <c r="C1052" s="4"/>
      <c r="D1052" s="7" t="s">
        <v>2011</v>
      </c>
      <c r="E1052" s="8" t="str">
        <f>IFERROR(__xludf.DUMMYFUNCTION("IF(
  LEN(TRIM(D1052))=0,
  ""왼쪽에 영어 문장을 입력하세요"",
  GOOGLETRANSLATE(D1052,""en"",""ko"")
)"),"왼쪽 어깨에 통증이 있어요.")</f>
        <v>왼쪽 어깨에 통증이 있어요.</v>
      </c>
      <c r="F1052" s="9" t="s">
        <v>2012</v>
      </c>
    </row>
    <row r="1053" ht="20.25" customHeight="1">
      <c r="A1053" s="5">
        <v>1121.0</v>
      </c>
      <c r="B1053" s="6">
        <v>251224.0</v>
      </c>
      <c r="C1053" s="4"/>
      <c r="D1053" s="7" t="s">
        <v>2013</v>
      </c>
      <c r="E1053" s="8" t="str">
        <f>IFERROR(__xludf.DUMMYFUNCTION("IF(
  LEN(TRIM(D1053))=0,
  ""왼쪽에 영어 문장을 입력하세요"",
  GOOGLETRANSLATE(D1053,""en"",""ko"")
)"),"길동은 나와 1등 자리를 놓고 경쟁했다.")</f>
        <v>길동은 나와 1등 자리를 놓고 경쟁했다.</v>
      </c>
      <c r="F1053" s="9" t="s">
        <v>2014</v>
      </c>
    </row>
    <row r="1054" ht="20.25" customHeight="1">
      <c r="A1054" s="5">
        <v>1123.0</v>
      </c>
      <c r="B1054" s="6">
        <v>251224.0</v>
      </c>
      <c r="C1054" s="4"/>
      <c r="D1054" s="7" t="s">
        <v>2015</v>
      </c>
      <c r="E1054" s="8" t="str">
        <f>IFERROR(__xludf.DUMMYFUNCTION("IF(
  LEN(TRIM(D1054))=0,
  ""왼쪽에 영어 문장을 입력하세요"",
  GOOGLETRANSLATE(D1054,""en"",""ko"")
)"),"이 이론은 타당해 보입니다.")</f>
        <v>이 이론은 타당해 보입니다.</v>
      </c>
      <c r="F1054" s="9" t="s">
        <v>2016</v>
      </c>
    </row>
    <row r="1055" ht="20.25" customHeight="1">
      <c r="A1055" s="5">
        <v>1124.0</v>
      </c>
      <c r="B1055" s="6">
        <v>251224.0</v>
      </c>
      <c r="C1055" s="4"/>
      <c r="D1055" s="7" t="s">
        <v>2017</v>
      </c>
      <c r="E1055" s="8" t="str">
        <f>IFERROR(__xludf.DUMMYFUNCTION("IF(
  LEN(TRIM(D1055))=0,
  ""왼쪽에 영어 문장을 입력하세요"",
  GOOGLETRANSLATE(D1055,""en"",""ko"")
)"),"그녀는 언제나 스릴을 갈망한다.")</f>
        <v>그녀는 언제나 스릴을 갈망한다.</v>
      </c>
      <c r="F1055" s="9" t="s">
        <v>2018</v>
      </c>
    </row>
    <row r="1056" ht="20.25" customHeight="1">
      <c r="A1056" s="5">
        <v>1125.0</v>
      </c>
      <c r="B1056" s="6">
        <v>251224.0</v>
      </c>
      <c r="C1056" s="4"/>
      <c r="D1056" s="7" t="s">
        <v>2019</v>
      </c>
      <c r="E1056" s="8" t="str">
        <f>IFERROR(__xludf.DUMMYFUNCTION("IF(
  LEN(TRIM(D1056))=0,
  ""왼쪽에 영어 문장을 입력하세요"",
  GOOGLETRANSLATE(D1056,""en"",""ko"")
)"),"이 운동들은 당신의 몸을 유연하게 만들어 줍니다.")</f>
        <v>이 운동들은 당신의 몸을 유연하게 만들어 줍니다.</v>
      </c>
      <c r="F1056" s="9" t="s">
        <v>2020</v>
      </c>
    </row>
    <row r="1057" ht="20.25" customHeight="1">
      <c r="A1057" s="5">
        <v>1127.0</v>
      </c>
      <c r="B1057" s="6">
        <v>251224.0</v>
      </c>
      <c r="C1057" s="4"/>
      <c r="D1057" s="7" t="s">
        <v>2021</v>
      </c>
      <c r="E1057" s="8" t="str">
        <f>IFERROR(__xludf.DUMMYFUNCTION("IF(
  LEN(TRIM(D1057))=0,
  ""왼쪽에 영어 문장을 입력하세요"",
  GOOGLETRANSLATE(D1057,""en"",""ko"")
)"),"길동은 돈에 대해 다소 무심한 태도를 가지고 있다.")</f>
        <v>길동은 돈에 대해 다소 무심한 태도를 가지고 있다.</v>
      </c>
      <c r="F1057" s="9" t="s">
        <v>2022</v>
      </c>
    </row>
    <row r="1058" ht="20.25" customHeight="1">
      <c r="A1058" s="5">
        <v>1128.0</v>
      </c>
      <c r="B1058" s="6">
        <v>251224.0</v>
      </c>
      <c r="C1058" s="4"/>
      <c r="D1058" s="7" t="s">
        <v>2023</v>
      </c>
      <c r="E1058" s="8" t="str">
        <f>IFERROR(__xludf.DUMMYFUNCTION("IF(
  LEN(TRIM(D1058))=0,
  ""왼쪽에 영어 문장을 입력하세요"",
  GOOGLETRANSLATE(D1058,""en"",""ko"")
)"),"나는 맞불 작전을 펼치기로 결심했다.")</f>
        <v>나는 맞불 작전을 펼치기로 결심했다.</v>
      </c>
      <c r="F1058" s="9" t="s">
        <v>2024</v>
      </c>
    </row>
    <row r="1059" ht="20.25" customHeight="1">
      <c r="A1059" s="5">
        <v>1129.0</v>
      </c>
      <c r="B1059" s="6">
        <v>251224.0</v>
      </c>
      <c r="C1059" s="4"/>
      <c r="D1059" s="7" t="s">
        <v>2025</v>
      </c>
      <c r="E1059" s="8" t="str">
        <f>IFERROR(__xludf.DUMMYFUNCTION("IF(
  LEN(TRIM(D1059))=0,
  ""왼쪽에 영어 문장을 입력하세요"",
  GOOGLETRANSLATE(D1059,""en"",""ko"")
)"),"관객들의 열기는 최고조에 달했다.")</f>
        <v>관객들의 열기는 최고조에 달했다.</v>
      </c>
      <c r="F1059" s="9" t="s">
        <v>2026</v>
      </c>
    </row>
    <row r="1060" ht="20.25" customHeight="1">
      <c r="A1060" s="5">
        <v>1131.0</v>
      </c>
      <c r="B1060" s="6">
        <v>251224.0</v>
      </c>
      <c r="C1060" s="4"/>
      <c r="D1060" s="7" t="s">
        <v>2027</v>
      </c>
      <c r="E1060" s="8" t="str">
        <f>IFERROR(__xludf.DUMMYFUNCTION("IF(
  LEN(TRIM(D1060))=0,
  ""왼쪽에 영어 문장을 입력하세요"",
  GOOGLETRANSLATE(D1060,""en"",""ko"")
)"),"길동의 부모님은 그의 모든 변덕을 다 들어준다.")</f>
        <v>길동의 부모님은 그의 모든 변덕을 다 들어준다.</v>
      </c>
      <c r="F1060" s="9" t="s">
        <v>2028</v>
      </c>
    </row>
    <row r="1061" ht="20.25" customHeight="1">
      <c r="A1061" s="5">
        <v>1132.0</v>
      </c>
      <c r="B1061" s="6">
        <v>251224.0</v>
      </c>
      <c r="C1061" s="4"/>
      <c r="D1061" s="7" t="s">
        <v>2029</v>
      </c>
      <c r="E1061" s="8" t="str">
        <f>IFERROR(__xludf.DUMMYFUNCTION("IF(
  LEN(TRIM(D1061))=0,
  ""왼쪽에 영어 문장을 입력하세요"",
  GOOGLETRANSLATE(D1061,""en"",""ko"")
)"),"제가 시간을 좀 더 벌 수 있다면, 그들이 가격을 낮춰줄지도 몰라요.")</f>
        <v>제가 시간을 좀 더 벌 수 있다면, 그들이 가격을 낮춰줄지도 몰라요.</v>
      </c>
      <c r="F1061" s="9" t="s">
        <v>2030</v>
      </c>
    </row>
    <row r="1062" ht="20.25" customHeight="1">
      <c r="A1062" s="5">
        <v>1133.0</v>
      </c>
      <c r="B1062" s="6">
        <v>251224.0</v>
      </c>
      <c r="C1062" s="4"/>
      <c r="D1062" s="7" t="s">
        <v>2031</v>
      </c>
      <c r="E1062" s="8" t="str">
        <f>IFERROR(__xludf.DUMMYFUNCTION("IF(
  LEN(TRIM(D1062))=0,
  ""왼쪽에 영어 문장을 입력하세요"",
  GOOGLETRANSLATE(D1062,""en"",""ko"")
)"),"점심시간은 한 시간이고, 2시에 다시 보고해 주세요.")</f>
        <v>점심시간은 한 시간이고, 2시에 다시 보고해 주세요.</v>
      </c>
      <c r="F1062" s="9" t="s">
        <v>2032</v>
      </c>
    </row>
    <row r="1063" ht="20.25" customHeight="1">
      <c r="A1063" s="5">
        <v>1135.0</v>
      </c>
      <c r="B1063" s="6">
        <v>251224.0</v>
      </c>
      <c r="C1063" s="4"/>
      <c r="D1063" s="7" t="s">
        <v>2033</v>
      </c>
      <c r="E1063" s="8" t="str">
        <f>IFERROR(__xludf.DUMMYFUNCTION("IF(
  LEN(TRIM(D1063))=0,
  ""왼쪽에 영어 문장을 입력하세요"",
  GOOGLETRANSLATE(D1063,""en"",""ko"")
)"),"오래된 습관은 쉽게 바뀌지 않는다.")</f>
        <v>오래된 습관은 쉽게 바뀌지 않는다.</v>
      </c>
      <c r="F1063" s="9" t="s">
        <v>2034</v>
      </c>
    </row>
    <row r="1064" ht="20.25" customHeight="1">
      <c r="A1064" s="5">
        <v>1136.0</v>
      </c>
      <c r="B1064" s="6">
        <v>251224.0</v>
      </c>
      <c r="C1064" s="4"/>
      <c r="D1064" s="7" t="s">
        <v>2035</v>
      </c>
      <c r="E1064" s="8" t="str">
        <f>IFERROR(__xludf.DUMMYFUNCTION("IF(
  LEN(TRIM(D1064))=0,
  ""왼쪽에 영어 문장을 입력하세요"",
  GOOGLETRANSLATE(D1064,""en"",""ko"")
)"),"현상 유지로는 충분하지 않습니다.")</f>
        <v>현상 유지로는 충분하지 않습니다.</v>
      </c>
      <c r="F1064" s="9" t="s">
        <v>2036</v>
      </c>
    </row>
    <row r="1065" ht="20.25" customHeight="1">
      <c r="A1065" s="5">
        <v>1137.0</v>
      </c>
      <c r="B1065" s="6">
        <v>251224.0</v>
      </c>
      <c r="C1065" s="4"/>
      <c r="D1065" s="7" t="s">
        <v>2037</v>
      </c>
      <c r="E1065" s="8" t="str">
        <f>IFERROR(__xludf.DUMMYFUNCTION("IF(
  LEN(TRIM(D1065))=0,
  ""왼쪽에 영어 문장을 입력하세요"",
  GOOGLETRANSLATE(D1065,""en"",""ko"")
)"),"나는 그녀가 내게 대답하는 것을 원하지 않아.")</f>
        <v>나는 그녀가 내게 대답하는 것을 원하지 않아.</v>
      </c>
      <c r="F1065" s="9" t="s">
        <v>2038</v>
      </c>
    </row>
    <row r="1066" ht="20.25" customHeight="1">
      <c r="A1066" s="5">
        <v>1139.0</v>
      </c>
      <c r="B1066" s="6">
        <v>251224.0</v>
      </c>
      <c r="C1066" s="4"/>
      <c r="D1066" s="7" t="s">
        <v>2039</v>
      </c>
      <c r="E1066" s="8" t="str">
        <f>IFERROR(__xludf.DUMMYFUNCTION("IF(
  LEN(TRIM(D1066))=0,
  ""왼쪽에 영어 문장을 입력하세요"",
  GOOGLETRANSLATE(D1066,""en"",""ko"")
)"),"우리는 이 법안에 대해 차례대로 논의할 것입니다.")</f>
        <v>우리는 이 법안에 대해 차례대로 논의할 것입니다.</v>
      </c>
      <c r="F1066" s="9" t="s">
        <v>2040</v>
      </c>
    </row>
    <row r="1067" ht="20.25" customHeight="1">
      <c r="A1067" s="5">
        <v>1140.0</v>
      </c>
      <c r="B1067" s="6">
        <v>251224.0</v>
      </c>
      <c r="C1067" s="4"/>
      <c r="D1067" s="7" t="s">
        <v>2041</v>
      </c>
      <c r="E1067" s="8" t="str">
        <f>IFERROR(__xludf.DUMMYFUNCTION("IF(
  LEN(TRIM(D1067))=0,
  ""왼쪽에 영어 문장을 입력하세요"",
  GOOGLETRANSLATE(D1067,""en"",""ko"")
)"),"어디서든 할 수 있는 운동 몇 가지를 알려드리겠습니다.")</f>
        <v>어디서든 할 수 있는 운동 몇 가지를 알려드리겠습니다.</v>
      </c>
      <c r="F1067" s="9" t="s">
        <v>2042</v>
      </c>
    </row>
    <row r="1068" ht="20.25" customHeight="1">
      <c r="A1068" s="5">
        <v>1141.0</v>
      </c>
      <c r="B1068" s="6">
        <v>251224.0</v>
      </c>
      <c r="C1068" s="4"/>
      <c r="D1068" s="7" t="s">
        <v>2043</v>
      </c>
      <c r="E1068" s="8" t="str">
        <f>IFERROR(__xludf.DUMMYFUNCTION("IF(
  LEN(TRIM(D1068))=0,
  ""왼쪽에 영어 문장을 입력하세요"",
  GOOGLETRANSLATE(D1068,""en"",""ko"")
)"),"길동은 결혼의 안정감과 독신의 자유를 모두 원한다. 그는 두 가지 모두를 갖고 싶어한다.")</f>
        <v>길동은 결혼의 안정감과 독신의 자유를 모두 원한다. 그는 두 가지 모두를 갖고 싶어한다.</v>
      </c>
      <c r="F1068" s="9" t="s">
        <v>2044</v>
      </c>
    </row>
    <row r="1069" ht="20.25" customHeight="1">
      <c r="A1069" s="5">
        <v>1143.0</v>
      </c>
      <c r="B1069" s="6">
        <v>251224.0</v>
      </c>
      <c r="C1069" s="4"/>
      <c r="D1069" s="7" t="s">
        <v>2045</v>
      </c>
      <c r="E1069" s="8" t="str">
        <f>IFERROR(__xludf.DUMMYFUNCTION("IF(
  LEN(TRIM(D1069))=0,
  ""왼쪽에 영어 문장을 입력하세요"",
  GOOGLETRANSLATE(D1069,""en"",""ko"")
)"),"길동은 항상 뒤를 돌아보고 있다.")</f>
        <v>길동은 항상 뒤를 돌아보고 있다.</v>
      </c>
      <c r="F1069" s="9" t="s">
        <v>2046</v>
      </c>
    </row>
    <row r="1070" ht="20.25" customHeight="1">
      <c r="A1070" s="5">
        <v>1144.0</v>
      </c>
      <c r="B1070" s="6">
        <v>251224.0</v>
      </c>
      <c r="C1070" s="4"/>
      <c r="D1070" s="7" t="s">
        <v>2047</v>
      </c>
      <c r="E1070" s="8" t="str">
        <f>IFERROR(__xludf.DUMMYFUNCTION("IF(
  LEN(TRIM(D1070))=0,
  ""왼쪽에 영어 문장을 입력하세요"",
  GOOGLETRANSLATE(D1070,""en"",""ko"")
)"),"민희는 이제 거의 숨을 거둘 지경이다.")</f>
        <v>민희는 이제 거의 숨을 거둘 지경이다.</v>
      </c>
      <c r="F1070" s="9" t="s">
        <v>2048</v>
      </c>
    </row>
    <row r="1071" ht="20.25" customHeight="1">
      <c r="A1071" s="5">
        <v>1145.0</v>
      </c>
      <c r="B1071" s="6">
        <v>251224.0</v>
      </c>
      <c r="C1071" s="4"/>
      <c r="D1071" s="7" t="s">
        <v>2049</v>
      </c>
      <c r="E1071" s="8" t="str">
        <f>IFERROR(__xludf.DUMMYFUNCTION("IF(
  LEN(TRIM(D1071))=0,
  ""왼쪽에 영어 문장을 입력하세요"",
  GOOGLETRANSLATE(D1071,""en"",""ko"")
)"),"그 기사를 읽었을 때, 마치 눈앞에 확 와닿는 충격을 받았어요.")</f>
        <v>그 기사를 읽었을 때, 마치 눈앞에 확 와닿는 충격을 받았어요.</v>
      </c>
      <c r="F1071" s="9" t="s">
        <v>2050</v>
      </c>
    </row>
    <row r="1072" ht="20.25" customHeight="1">
      <c r="A1072" s="5">
        <v>1147.0</v>
      </c>
      <c r="B1072" s="6">
        <v>251224.0</v>
      </c>
      <c r="C1072" s="4"/>
      <c r="D1072" s="7" t="s">
        <v>2051</v>
      </c>
      <c r="E1072" s="8" t="str">
        <f>IFERROR(__xludf.DUMMYFUNCTION("IF(
  LEN(TRIM(D1072))=0,
  ""왼쪽에 영어 문장을 입력하세요"",
  GOOGLETRANSLATE(D1072,""en"",""ko"")
)"),"내 아이디어들이 뿌리를 내리기 시작했고 다른 사람들에게 영향을 미치게 되었다.")</f>
        <v>내 아이디어들이 뿌리를 내리기 시작했고 다른 사람들에게 영향을 미치게 되었다.</v>
      </c>
      <c r="F1072" s="9" t="s">
        <v>2052</v>
      </c>
    </row>
    <row r="1073" ht="20.25" customHeight="1">
      <c r="A1073" s="5">
        <v>1148.0</v>
      </c>
      <c r="B1073" s="6">
        <v>251224.0</v>
      </c>
      <c r="C1073" s="4"/>
      <c r="D1073" s="7" t="s">
        <v>2053</v>
      </c>
      <c r="E1073" s="8" t="str">
        <f>IFERROR(__xludf.DUMMYFUNCTION("IF(
  LEN(TRIM(D1073))=0,
  ""왼쪽에 영어 문장을 입력하세요"",
  GOOGLETRANSLATE(D1073,""en"",""ko"")
)"),"거짓된 삶을 더 이상 견딜 수 없었다.")</f>
        <v>거짓된 삶을 더 이상 견딜 수 없었다.</v>
      </c>
      <c r="F1073" s="9" t="s">
        <v>2054</v>
      </c>
    </row>
    <row r="1074" ht="20.25" customHeight="1">
      <c r="A1074" s="5">
        <v>1149.0</v>
      </c>
      <c r="B1074" s="6">
        <v>251224.0</v>
      </c>
      <c r="C1074" s="4"/>
      <c r="D1074" s="7" t="s">
        <v>2055</v>
      </c>
      <c r="E1074" s="8" t="str">
        <f>IFERROR(__xludf.DUMMYFUNCTION("IF(
  LEN(TRIM(D1074))=0,
  ""왼쪽에 영어 문장을 입력하세요"",
  GOOGLETRANSLATE(D1074,""en"",""ko"")
)"),"책임을 회피하려고 하지 마! 네 잘못이야.")</f>
        <v>책임을 회피하려고 하지 마! 네 잘못이야.</v>
      </c>
      <c r="F1074" s="9" t="s">
        <v>2056</v>
      </c>
    </row>
    <row r="1075" ht="20.25" customHeight="1">
      <c r="A1075" s="5">
        <v>1151.0</v>
      </c>
      <c r="B1075" s="6">
        <v>251224.0</v>
      </c>
      <c r="C1075" s="4"/>
      <c r="D1075" s="7" t="s">
        <v>2057</v>
      </c>
      <c r="E1075" s="8" t="str">
        <f>IFERROR(__xludf.DUMMYFUNCTION("IF(
  LEN(TRIM(D1075))=0,
  ""왼쪽에 영어 문장을 입력하세요"",
  GOOGLETRANSLATE(D1075,""en"",""ko"")
)"),"내 이름으로 그러지 마.")</f>
        <v>내 이름으로 그러지 마.</v>
      </c>
      <c r="F1075" s="9" t="s">
        <v>2058</v>
      </c>
    </row>
    <row r="1076" ht="20.25" customHeight="1">
      <c r="A1076" s="5">
        <v>1152.0</v>
      </c>
      <c r="B1076" s="6">
        <v>251224.0</v>
      </c>
      <c r="C1076" s="4"/>
      <c r="D1076" s="7" t="s">
        <v>2059</v>
      </c>
      <c r="E1076" s="8" t="str">
        <f>IFERROR(__xludf.DUMMYFUNCTION("IF(
  LEN(TRIM(D1076))=0,
  ""왼쪽에 영어 문장을 입력하세요"",
  GOOGLETRANSLATE(D1076,""en"",""ko"")
)"),"우리 모두 힘을 합쳐 이 일을 해냅시다.")</f>
        <v>우리 모두 힘을 합쳐 이 일을 해냅시다.</v>
      </c>
      <c r="F1076" s="9" t="s">
        <v>2060</v>
      </c>
    </row>
    <row r="1077" ht="20.25" customHeight="1">
      <c r="A1077" s="5">
        <v>1153.0</v>
      </c>
      <c r="B1077" s="6">
        <v>251224.0</v>
      </c>
      <c r="C1077" s="4"/>
      <c r="D1077" s="7" t="s">
        <v>2061</v>
      </c>
      <c r="E1077" s="8" t="str">
        <f>IFERROR(__xludf.DUMMYFUNCTION("IF(
  LEN(TRIM(D1077))=0,
  ""왼쪽에 영어 문장을 입력하세요"",
  GOOGLETRANSLATE(D1077,""en"",""ko"")
)"),"아주 흥미로운 아이디어가 방금 떠올랐습니다.")</f>
        <v>아주 흥미로운 아이디어가 방금 떠올랐습니다.</v>
      </c>
      <c r="F1077" s="9" t="s">
        <v>2062</v>
      </c>
    </row>
    <row r="1078" ht="20.25" customHeight="1">
      <c r="A1078" s="5">
        <v>1154.0</v>
      </c>
      <c r="B1078" s="6">
        <v>251224.0</v>
      </c>
      <c r="C1078" s="4"/>
      <c r="D1078" s="15" t="s">
        <v>2063</v>
      </c>
      <c r="E1078" s="8" t="str">
        <f>IFERROR(__xludf.DUMMYFUNCTION("IF(
  LEN(TRIM(D1078))=0,
  ""왼쪽에 영어 문장을 입력하세요"",
  GOOGLETRANSLATE(D1078,""en"",""ko"")
)"),"계속 머물러 주세요")</f>
        <v>계속 머물러 주세요</v>
      </c>
      <c r="F1078" s="16" t="s">
        <v>2064</v>
      </c>
    </row>
    <row r="1079" ht="20.25" customHeight="1">
      <c r="A1079" s="5">
        <v>1155.0</v>
      </c>
      <c r="B1079" s="6">
        <v>251224.0</v>
      </c>
      <c r="C1079" s="4"/>
      <c r="D1079" s="15" t="s">
        <v>2065</v>
      </c>
      <c r="E1079" s="8" t="str">
        <f>IFERROR(__xludf.DUMMYFUNCTION("IF(
  LEN(TRIM(D1079))=0,
  ""왼쪽에 영어 문장을 입력하세요"",
  GOOGLETRANSLATE(D1079,""en"",""ko"")
)"),"네가 그렇게 많이 먹는 건 처음 봤어")</f>
        <v>네가 그렇게 많이 먹는 건 처음 봤어</v>
      </c>
      <c r="F1079" s="9"/>
    </row>
    <row r="1080" ht="20.25" customHeight="1">
      <c r="A1080" s="5">
        <v>1156.0</v>
      </c>
      <c r="B1080" s="6">
        <v>251224.0</v>
      </c>
      <c r="C1080" s="4"/>
      <c r="D1080" s="15" t="s">
        <v>2066</v>
      </c>
      <c r="E1080" s="8" t="str">
        <f>IFERROR(__xludf.DUMMYFUNCTION("IF(
  LEN(TRIM(D1080))=0,
  ""왼쪽에 영어 문장을 입력하세요"",
  GOOGLETRANSLATE(D1080,""en"",""ko"")
)"),"계속 지켜봐 주세요. 깜짝 놀라실 거예요.")</f>
        <v>계속 지켜봐 주세요. 깜짝 놀라실 거예요.</v>
      </c>
      <c r="F1080" s="9"/>
    </row>
    <row r="1081" ht="20.25" customHeight="1">
      <c r="A1081" s="5">
        <v>1157.0</v>
      </c>
      <c r="B1081" s="6">
        <v>251224.0</v>
      </c>
      <c r="C1081" s="4"/>
      <c r="D1081" s="15" t="s">
        <v>2067</v>
      </c>
      <c r="E1081" s="8" t="str">
        <f>IFERROR(__xludf.DUMMYFUNCTION("IF(
  LEN(TRIM(D1081))=0,
  ""왼쪽에 영어 문장을 입력하세요"",
  GOOGLETRANSLATE(D1081,""en"",""ko"")
)"),"그럴 줄 알았어!")</f>
        <v>그럴 줄 알았어!</v>
      </c>
      <c r="F1081" s="16" t="s">
        <v>2068</v>
      </c>
    </row>
    <row r="1082" ht="20.25" customHeight="1">
      <c r="A1082" s="5">
        <v>1158.0</v>
      </c>
      <c r="B1082" s="6">
        <v>251224.0</v>
      </c>
      <c r="C1082" s="4"/>
      <c r="D1082" s="15" t="s">
        <v>2069</v>
      </c>
      <c r="E1082" s="8" t="str">
        <f>IFERROR(__xludf.DUMMYFUNCTION("IF(
  LEN(TRIM(D1082))=0,
  ""왼쪽에 영어 문장을 입력하세요"",
  GOOGLETRANSLATE(D1082,""en"",""ko"")
)"),"태풍이 다가오고 있습니다")</f>
        <v>태풍이 다가오고 있습니다</v>
      </c>
      <c r="F1082" s="9"/>
    </row>
    <row r="1083" ht="20.25" customHeight="1">
      <c r="A1083" s="5">
        <v>1159.0</v>
      </c>
      <c r="B1083" s="6">
        <v>251224.0</v>
      </c>
      <c r="C1083" s="4"/>
      <c r="D1083" s="15" t="s">
        <v>2070</v>
      </c>
      <c r="E1083" s="8" t="str">
        <f>IFERROR(__xludf.DUMMYFUNCTION("IF(
  LEN(TRIM(D1083))=0,
  ""왼쪽에 영어 문장을 입력하세요"",
  GOOGLETRANSLATE(D1083,""en"",""ko"")
)"),"그럴 줄 알았어! 오늘이 내 쉬는 날이거든.")</f>
        <v>그럴 줄 알았어! 오늘이 내 쉬는 날이거든.</v>
      </c>
      <c r="F1083" s="9"/>
    </row>
    <row r="1084" ht="20.25" customHeight="1">
      <c r="A1084" s="5">
        <v>1160.0</v>
      </c>
      <c r="B1084" s="6">
        <v>251224.0</v>
      </c>
      <c r="C1084" s="4"/>
      <c r="D1084" s="15" t="s">
        <v>2071</v>
      </c>
      <c r="E1084" s="8" t="str">
        <f>IFERROR(__xludf.DUMMYFUNCTION("IF(
  LEN(TRIM(D1084))=0,
  ""왼쪽에 영어 문장을 입력하세요"",
  GOOGLETRANSLATE(D1084,""en"",""ko"")
)"),"그게 바로 정신이지")</f>
        <v>그게 바로 정신이지</v>
      </c>
      <c r="F1084" s="16" t="s">
        <v>2072</v>
      </c>
    </row>
    <row r="1085" ht="20.25" customHeight="1">
      <c r="A1085" s="5">
        <v>1161.0</v>
      </c>
      <c r="B1085" s="6">
        <v>251224.0</v>
      </c>
      <c r="C1085" s="4"/>
      <c r="D1085" s="15" t="s">
        <v>2073</v>
      </c>
      <c r="E1085" s="8" t="str">
        <f>IFERROR(__xludf.DUMMYFUNCTION("IF(
  LEN(TRIM(D1085))=0,
  ""왼쪽에 영어 문장을 입력하세요"",
  GOOGLETRANSLATE(D1085,""en"",""ko"")
)"),"일이 잘 풀리지는 않았지만, 다시 시도해 볼게요.")</f>
        <v>일이 잘 풀리지는 않았지만, 다시 시도해 볼게요.</v>
      </c>
      <c r="F1085" s="9"/>
    </row>
    <row r="1086" ht="20.25" customHeight="1">
      <c r="A1086" s="5">
        <v>1162.0</v>
      </c>
      <c r="B1086" s="6">
        <v>251224.0</v>
      </c>
      <c r="C1086" s="4"/>
      <c r="D1086" s="15" t="s">
        <v>2071</v>
      </c>
      <c r="E1086" s="8" t="str">
        <f>IFERROR(__xludf.DUMMYFUNCTION("IF(
  LEN(TRIM(D1086))=0,
  ""왼쪽에 영어 문장을 입력하세요"",
  GOOGLETRANSLATE(D1086,""en"",""ko"")
)"),"그게 바로 정신이지")</f>
        <v>그게 바로 정신이지</v>
      </c>
      <c r="F1086" s="9"/>
    </row>
    <row r="1087" ht="20.25" customHeight="1">
      <c r="A1087" s="5">
        <v>1163.0</v>
      </c>
      <c r="B1087" s="6">
        <v>251224.0</v>
      </c>
      <c r="C1087" s="4"/>
      <c r="D1087" s="15" t="s">
        <v>2074</v>
      </c>
      <c r="E1087" s="8" t="str">
        <f>IFERROR(__xludf.DUMMYFUNCTION("IF(
  LEN(TRIM(D1087))=0,
  ""왼쪽에 영어 문장을 입력하세요"",
  GOOGLETRANSLATE(D1087,""en"",""ko"")
)"),"나는 더 이상 어떻게 해야 할지 모르겠어")</f>
        <v>나는 더 이상 어떻게 해야 할지 모르겠어</v>
      </c>
      <c r="F1087" s="16" t="s">
        <v>2075</v>
      </c>
    </row>
    <row r="1088" ht="20.25" customHeight="1">
      <c r="A1088" s="5">
        <v>1164.0</v>
      </c>
      <c r="B1088" s="6">
        <v>251224.0</v>
      </c>
      <c r="C1088" s="4"/>
      <c r="D1088" s="15" t="s">
        <v>2076</v>
      </c>
      <c r="E1088" s="8" t="str">
        <f>IFERROR(__xludf.DUMMYFUNCTION("IF(
  LEN(TRIM(D1088))=0,
  ""왼쪽에 영어 문장을 입력하세요"",
  GOOGLETRANSLATE(D1088,""en"",""ko"")
)"),"열쇠를 못 찾겠어요. 정말 어찌할 바를 모르겠네요.")</f>
        <v>열쇠를 못 찾겠어요. 정말 어찌할 바를 모르겠네요.</v>
      </c>
      <c r="F1088" s="9"/>
    </row>
    <row r="1089" ht="20.25" customHeight="1">
      <c r="A1089" s="5">
        <v>1165.0</v>
      </c>
      <c r="B1089" s="6">
        <v>251224.0</v>
      </c>
      <c r="C1089" s="4"/>
      <c r="D1089" s="15" t="s">
        <v>2077</v>
      </c>
      <c r="E1089" s="8" t="str">
        <f>IFERROR(__xludf.DUMMYFUNCTION("IF(
  LEN(TRIM(D1089))=0,
  ""왼쪽에 영어 문장을 입력하세요"",
  GOOGLETRANSLATE(D1089,""en"",""ko"")
)"),"심호흡을 하세요. 왔던 길을 되돌아가세요.")</f>
        <v>심호흡을 하세요. 왔던 길을 되돌아가세요.</v>
      </c>
      <c r="F1089" s="9"/>
    </row>
    <row r="1090" ht="20.25" customHeight="1">
      <c r="A1090" s="5">
        <v>1166.0</v>
      </c>
      <c r="B1090" s="6">
        <v>251224.0</v>
      </c>
      <c r="C1090" s="4"/>
      <c r="D1090" s="15" t="s">
        <v>2078</v>
      </c>
      <c r="E1090" s="8" t="str">
        <f>IFERROR(__xludf.DUMMYFUNCTION("IF(
  LEN(TRIM(D1090))=0,
  ""왼쪽에 영어 문장을 입력하세요"",
  GOOGLETRANSLATE(D1090,""en"",""ko"")
)"),"눈 깜짝할 사이에")</f>
        <v>눈 깜짝할 사이에</v>
      </c>
      <c r="F1090" s="16" t="s">
        <v>2079</v>
      </c>
    </row>
    <row r="1091" ht="20.25" customHeight="1">
      <c r="A1091" s="5">
        <v>1167.0</v>
      </c>
      <c r="B1091" s="6">
        <v>251224.0</v>
      </c>
      <c r="C1091" s="4"/>
      <c r="D1091" s="15" t="s">
        <v>2080</v>
      </c>
      <c r="E1091" s="8" t="str">
        <f>IFERROR(__xludf.DUMMYFUNCTION("IF(
  LEN(TRIM(D1091))=0,
  ""왼쪽에 영어 문장을 입력하세요"",
  GOOGLETRANSLATE(D1091,""en"",""ko"")
)"),"아이들은 정말 빨리 자라네요.")</f>
        <v>아이들은 정말 빨리 자라네요.</v>
      </c>
      <c r="F1091" s="9"/>
    </row>
    <row r="1092" ht="20.25" customHeight="1">
      <c r="A1092" s="5">
        <v>1168.0</v>
      </c>
      <c r="B1092" s="6">
        <v>251224.0</v>
      </c>
      <c r="C1092" s="4"/>
      <c r="D1092" s="15" t="s">
        <v>2081</v>
      </c>
      <c r="E1092" s="8" t="str">
        <f>IFERROR(__xludf.DUMMYFUNCTION("IF(
  LEN(TRIM(D1092))=0,
  ""왼쪽에 영어 문장을 입력하세요"",
  GOOGLETRANSLATE(D1092,""en"",""ko"")
)"),"네. 세월은 눈 깜짝할 사이에 지나가죠.")</f>
        <v>네. 세월은 눈 깜짝할 사이에 지나가죠.</v>
      </c>
      <c r="F1092" s="9"/>
    </row>
    <row r="1093" ht="20.25" customHeight="1">
      <c r="A1093" s="5">
        <v>1169.0</v>
      </c>
      <c r="B1093" s="6">
        <v>251224.0</v>
      </c>
      <c r="C1093" s="4"/>
      <c r="D1093" s="15" t="s">
        <v>2082</v>
      </c>
      <c r="E1093" s="8" t="str">
        <f>IFERROR(__xludf.DUMMYFUNCTION("IF(
  LEN(TRIM(D1093))=0,
  ""왼쪽에 영어 문장을 입력하세요"",
  GOOGLETRANSLATE(D1093,""en"",""ko"")
)"),"제가 아는 한은 없습니다.")</f>
        <v>제가 아는 한은 없습니다.</v>
      </c>
      <c r="F1093" s="16" t="s">
        <v>2083</v>
      </c>
    </row>
    <row r="1094" ht="20.25" customHeight="1">
      <c r="A1094" s="5">
        <v>1170.0</v>
      </c>
      <c r="B1094" s="6">
        <v>251224.0</v>
      </c>
      <c r="C1094" s="4"/>
      <c r="D1094" s="15" t="s">
        <v>2084</v>
      </c>
      <c r="E1094" s="8" t="str">
        <f>IFERROR(__xludf.DUMMYFUNCTION("IF(
  LEN(TRIM(D1094))=0,
  ""왼쪽에 영어 문장을 입력하세요"",
  GOOGLETRANSLATE(D1094,""en"",""ko"")
)"),"제니는 지금 만나는 사람이 있나요?")</f>
        <v>제니는 지금 만나는 사람이 있나요?</v>
      </c>
      <c r="F1094" s="9"/>
    </row>
    <row r="1095" ht="20.25" customHeight="1">
      <c r="A1095" s="5">
        <v>1171.0</v>
      </c>
      <c r="B1095" s="6">
        <v>251224.0</v>
      </c>
      <c r="C1095" s="4"/>
      <c r="D1095" s="15" t="s">
        <v>2082</v>
      </c>
      <c r="E1095" s="8" t="str">
        <f>IFERROR(__xludf.DUMMYFUNCTION("IF(
  LEN(TRIM(D1095))=0,
  ""왼쪽에 영어 문장을 입력하세요"",
  GOOGLETRANSLATE(D1095,""en"",""ko"")
)"),"제가 아는 한은 없습니다.")</f>
        <v>제가 아는 한은 없습니다.</v>
      </c>
      <c r="F1095" s="9"/>
    </row>
    <row r="1096" ht="20.25" customHeight="1">
      <c r="A1096" s="5">
        <v>1172.0</v>
      </c>
      <c r="B1096" s="6">
        <v>251224.0</v>
      </c>
      <c r="C1096" s="4"/>
      <c r="D1096" s="15" t="s">
        <v>2085</v>
      </c>
      <c r="E1096" s="8" t="str">
        <f>IFERROR(__xludf.DUMMYFUNCTION("IF(
  LEN(TRIM(D1096))=0,
  ""왼쪽에 영어 문장을 입력하세요"",
  GOOGLETRANSLATE(D1096,""en"",""ko"")
)"),"저는 토론 중입니다")</f>
        <v>저는 토론 중입니다</v>
      </c>
      <c r="F1096" s="16" t="s">
        <v>2086</v>
      </c>
    </row>
    <row r="1097" ht="20.25" customHeight="1">
      <c r="A1097" s="5">
        <v>1173.0</v>
      </c>
      <c r="B1097" s="6">
        <v>251224.0</v>
      </c>
      <c r="C1097" s="4"/>
      <c r="D1097" s="15" t="s">
        <v>2087</v>
      </c>
      <c r="E1097" s="8" t="str">
        <f>IFERROR(__xludf.DUMMYFUNCTION("IF(
  LEN(TRIM(D1097))=0,
  ""왼쪽에 영어 문장을 입력하세요"",
  GOOGLETRANSLATE(D1097,""en"",""ko"")
)"),"오늘 밤 외출하실 거예요?")</f>
        <v>오늘 밤 외출하실 거예요?</v>
      </c>
      <c r="F1097" s="9"/>
    </row>
    <row r="1098" ht="20.25" customHeight="1">
      <c r="A1098" s="5">
        <v>1174.0</v>
      </c>
      <c r="B1098" s="6">
        <v>251224.0</v>
      </c>
      <c r="C1098" s="4"/>
      <c r="D1098" s="15" t="s">
        <v>2085</v>
      </c>
      <c r="E1098" s="8" t="str">
        <f>IFERROR(__xludf.DUMMYFUNCTION("IF(
  LEN(TRIM(D1098))=0,
  ""왼쪽에 영어 문장을 입력하세요"",
  GOOGLETRANSLATE(D1098,""en"",""ko"")
)"),"저는 토론 중입니다")</f>
        <v>저는 토론 중입니다</v>
      </c>
      <c r="F1098" s="9"/>
    </row>
    <row r="1099" ht="20.25" customHeight="1">
      <c r="A1099" s="5">
        <v>1175.0</v>
      </c>
      <c r="B1099" s="6">
        <v>251224.0</v>
      </c>
      <c r="C1099" s="4"/>
      <c r="D1099" s="15" t="s">
        <v>2088</v>
      </c>
      <c r="E1099" s="8" t="str">
        <f>IFERROR(__xludf.DUMMYFUNCTION("IF(
  LEN(TRIM(D1099))=0,
  ""왼쪽에 영어 문장을 입력하세요"",
  GOOGLETRANSLATE(D1099,""en"",""ko"")
)"),"그건 운명이었던 거야.")</f>
        <v>그건 운명이었던 거야.</v>
      </c>
      <c r="F1099" s="16" t="s">
        <v>2089</v>
      </c>
    </row>
    <row r="1100" ht="20.25" customHeight="1">
      <c r="A1100" s="5">
        <v>1176.0</v>
      </c>
      <c r="B1100" s="6">
        <v>251224.0</v>
      </c>
      <c r="C1100" s="4"/>
      <c r="D1100" s="15" t="s">
        <v>2090</v>
      </c>
      <c r="E1100" s="8" t="str">
        <f>IFERROR(__xludf.DUMMYFUNCTION("IF(
  LEN(TRIM(D1100))=0,
  ""왼쪽에 영어 문장을 입력하세요"",
  GOOGLETRANSLATE(D1100,""en"",""ko"")
)"),"두 분은 어떻게 사랑에 빠지셨나요?")</f>
        <v>두 분은 어떻게 사랑에 빠지셨나요?</v>
      </c>
      <c r="F1100" s="9"/>
    </row>
    <row r="1101" ht="20.25" customHeight="1">
      <c r="A1101" s="5">
        <v>1177.0</v>
      </c>
      <c r="B1101" s="6">
        <v>251224.0</v>
      </c>
      <c r="C1101" s="4"/>
      <c r="D1101" s="15" t="s">
        <v>2088</v>
      </c>
      <c r="E1101" s="8" t="str">
        <f>IFERROR(__xludf.DUMMYFUNCTION("IF(
  LEN(TRIM(D1101))=0,
  ""왼쪽에 영어 문장을 입력하세요"",
  GOOGLETRANSLATE(D1101,""en"",""ko"")
)"),"그건 운명이었던 거야.")</f>
        <v>그건 운명이었던 거야.</v>
      </c>
      <c r="F1101" s="9"/>
    </row>
    <row r="1102" ht="20.25" customHeight="1">
      <c r="A1102" s="5">
        <v>1178.0</v>
      </c>
      <c r="B1102" s="6">
        <v>251224.0</v>
      </c>
      <c r="C1102" s="4"/>
      <c r="D1102" s="15" t="s">
        <v>2091</v>
      </c>
      <c r="E1102" s="8" t="str">
        <f>IFERROR(__xludf.DUMMYFUNCTION("IF(
  LEN(TRIM(D1102))=0,
  ""왼쪽에 영어 문장을 입력하세요"",
  GOOGLETRANSLATE(D1102,""en"",""ko"")
)"),"스타킹에 올이 나갔어요")</f>
        <v>스타킹에 올이 나갔어요</v>
      </c>
      <c r="F1102" s="16" t="s">
        <v>2092</v>
      </c>
    </row>
    <row r="1103" ht="20.25" customHeight="1">
      <c r="A1103" s="5">
        <v>1179.0</v>
      </c>
      <c r="B1103" s="6">
        <v>251224.0</v>
      </c>
      <c r="C1103" s="4"/>
      <c r="D1103" s="15" t="s">
        <v>2091</v>
      </c>
      <c r="E1103" s="8" t="str">
        <f>IFERROR(__xludf.DUMMYFUNCTION("IF(
  LEN(TRIM(D1103))=0,
  ""왼쪽에 영어 문장을 입력하세요"",
  GOOGLETRANSLATE(D1103,""en"",""ko"")
)"),"스타킹에 올이 나갔어요")</f>
        <v>스타킹에 올이 나갔어요</v>
      </c>
      <c r="F1103" s="9"/>
    </row>
    <row r="1104" ht="20.25" customHeight="1">
      <c r="A1104" s="5">
        <v>1180.0</v>
      </c>
      <c r="B1104" s="6">
        <v>251224.0</v>
      </c>
      <c r="C1104" s="4"/>
      <c r="D1104" s="15" t="s">
        <v>2093</v>
      </c>
      <c r="E1104" s="8" t="str">
        <f>IFERROR(__xludf.DUMMYFUNCTION("IF(
  LEN(TRIM(D1104))=0,
  ""왼쪽에 영어 문장을 입력하세요"",
  GOOGLETRANSLATE(D1104,""en"",""ko"")
)"),"내가 뭔가를 낚았나 봐")</f>
        <v>내가 뭔가를 낚았나 봐</v>
      </c>
      <c r="F1104" s="9"/>
    </row>
    <row r="1105" ht="20.25" customHeight="1">
      <c r="A1105" s="5">
        <v>1181.0</v>
      </c>
      <c r="B1105" s="6">
        <v>251224.0</v>
      </c>
      <c r="C1105" s="4"/>
      <c r="D1105" s="15" t="s">
        <v>2094</v>
      </c>
      <c r="E1105" s="8" t="str">
        <f>IFERROR(__xludf.DUMMYFUNCTION("IF(
  LEN(TRIM(D1105))=0,
  ""왼쪽에 영어 문장을 입력하세요"",
  GOOGLETRANSLATE(D1105,""en"",""ko"")
)"),"바지 지퍼가 열렸어요")</f>
        <v>바지 지퍼가 열렸어요</v>
      </c>
      <c r="F1105" s="9" t="s">
        <v>2095</v>
      </c>
    </row>
    <row r="1106" ht="20.25" customHeight="1">
      <c r="A1106" s="5">
        <v>1182.0</v>
      </c>
      <c r="B1106" s="6">
        <v>251224.0</v>
      </c>
      <c r="C1106" s="4"/>
      <c r="D1106" s="15" t="s">
        <v>2096</v>
      </c>
      <c r="E1106" s="8" t="str">
        <f>IFERROR(__xludf.DUMMYFUNCTION("IF(
  LEN(TRIM(D1106))=0,
  ""왼쪽에 영어 문장을 입력하세요"",
  GOOGLETRANSLATE(D1106,""en"",""ko"")
)"),"알아봐주셔서 감사합니다")</f>
        <v>알아봐주셔서 감사합니다</v>
      </c>
      <c r="F1106" s="9" t="s">
        <v>2097</v>
      </c>
    </row>
    <row r="1107" ht="20.25" customHeight="1">
      <c r="A1107" s="5">
        <v>1183.0</v>
      </c>
      <c r="B1107" s="6">
        <v>251224.0</v>
      </c>
      <c r="C1107" s="4"/>
      <c r="D1107" s="15" t="s">
        <v>2098</v>
      </c>
      <c r="E1107" s="8" t="str">
        <f>IFERROR(__xludf.DUMMYFUNCTION("IF(
  LEN(TRIM(D1107))=0,
  ""왼쪽에 영어 문장을 입력하세요"",
  GOOGLETRANSLATE(D1107,""en"",""ko"")
)"),"정말 고마워요")</f>
        <v>정말 고마워요</v>
      </c>
      <c r="F1107" s="9" t="s">
        <v>2099</v>
      </c>
    </row>
    <row r="1108" ht="20.25" customHeight="1">
      <c r="A1108" s="5">
        <v>1184.0</v>
      </c>
      <c r="B1108" s="6">
        <v>251224.0</v>
      </c>
      <c r="C1108" s="4"/>
      <c r="D1108" s="15" t="s">
        <v>2100</v>
      </c>
      <c r="E1108" s="8" t="str">
        <f>IFERROR(__xludf.DUMMYFUNCTION("IF(
  LEN(TRIM(D1108))=0,
  ""왼쪽에 영어 문장을 입력하세요"",
  GOOGLETRANSLATE(D1108,""en"",""ko"")
)"),"우리 월급 인상된다는 소식을 들었어요.")</f>
        <v>우리 월급 인상된다는 소식을 들었어요.</v>
      </c>
      <c r="F1108" s="9" t="s">
        <v>2101</v>
      </c>
    </row>
    <row r="1109" ht="20.25" customHeight="1">
      <c r="A1109" s="5">
        <v>1185.0</v>
      </c>
      <c r="B1109" s="6">
        <v>251224.0</v>
      </c>
      <c r="C1109" s="4"/>
      <c r="D1109" s="15" t="s">
        <v>2102</v>
      </c>
      <c r="E1109" s="8" t="str">
        <f>IFERROR(__xludf.DUMMYFUNCTION("IF(
  LEN(TRIM(D1109))=0,
  ""왼쪽에 영어 문장을 입력하세요"",
  GOOGLETRANSLATE(D1109,""en"",""ko"")
)"),"다행이다! 너무 늦었어.")</f>
        <v>다행이다! 너무 늦었어.</v>
      </c>
      <c r="F1109" s="9" t="s">
        <v>2103</v>
      </c>
    </row>
    <row r="1110" ht="20.25" customHeight="1">
      <c r="A1110" s="5">
        <v>1186.0</v>
      </c>
      <c r="B1110" s="6">
        <v>251224.0</v>
      </c>
      <c r="C1110" s="4"/>
      <c r="D1110" s="15" t="s">
        <v>2104</v>
      </c>
      <c r="E1110" s="8" t="str">
        <f>IFERROR(__xludf.DUMMYFUNCTION("IF(
  LEN(TRIM(D1110))=0,
  ""왼쪽에 영어 문장을 입력하세요"",
  GOOGLETRANSLATE(D1110,""en"",""ko"")
)"),"예비 엄마")</f>
        <v>예비 엄마</v>
      </c>
      <c r="F1110" s="9" t="s">
        <v>2105</v>
      </c>
    </row>
    <row r="1111" ht="20.25" customHeight="1">
      <c r="A1111" s="5">
        <v>1187.0</v>
      </c>
      <c r="B1111" s="6">
        <v>251224.0</v>
      </c>
      <c r="C1111" s="4"/>
      <c r="D1111" s="15" t="s">
        <v>2106</v>
      </c>
      <c r="E1111" s="8" t="str">
        <f>IFERROR(__xludf.DUMMYFUNCTION("IF(
  LEN(TRIM(D1111))=0,
  ""왼쪽에 영어 문장을 입력하세요"",
  GOOGLETRANSLATE(D1111,""en"",""ko"")
)"),"예비 엄마는 잘 지내시나요?")</f>
        <v>예비 엄마는 잘 지내시나요?</v>
      </c>
      <c r="F1111" s="9" t="s">
        <v>2107</v>
      </c>
    </row>
    <row r="1112" ht="20.25" customHeight="1">
      <c r="A1112" s="5">
        <v>1188.0</v>
      </c>
      <c r="B1112" s="6">
        <v>251224.0</v>
      </c>
      <c r="C1112" s="4"/>
      <c r="D1112" s="15" t="s">
        <v>2108</v>
      </c>
      <c r="E1112" s="8" t="str">
        <f>IFERROR(__xludf.DUMMYFUNCTION("IF(
  LEN(TRIM(D1112))=0,
  ""왼쪽에 영어 문장을 입력하세요"",
  GOOGLETRANSLATE(D1112,""en"",""ko"")
)"),"저는 입덧으로 고생하고 있어요.")</f>
        <v>저는 입덧으로 고생하고 있어요.</v>
      </c>
      <c r="F1112" s="9" t="s">
        <v>2109</v>
      </c>
    </row>
    <row r="1113" ht="20.25" customHeight="1">
      <c r="A1113" s="5">
        <v>1189.0</v>
      </c>
      <c r="B1113" s="6">
        <v>251224.0</v>
      </c>
      <c r="C1113" s="4"/>
      <c r="D1113" s="15" t="s">
        <v>2110</v>
      </c>
      <c r="E1113" s="8" t="str">
        <f>IFERROR(__xludf.DUMMYFUNCTION("IF(
  LEN(TRIM(D1113))=0,
  ""왼쪽에 영어 문장을 입력하세요"",
  GOOGLETRANSLATE(D1113,""en"",""ko"")
)"),"진지하게")</f>
        <v>진지하게</v>
      </c>
      <c r="F1113" s="9" t="s">
        <v>2111</v>
      </c>
    </row>
    <row r="1114" ht="20.25" customHeight="1">
      <c r="A1114" s="5">
        <v>1190.0</v>
      </c>
      <c r="B1114" s="6">
        <v>251224.0</v>
      </c>
      <c r="C1114" s="4"/>
      <c r="D1114" s="15" t="s">
        <v>2112</v>
      </c>
      <c r="E1114" s="8" t="str">
        <f>IFERROR(__xludf.DUMMYFUNCTION("IF(
  LEN(TRIM(D1114))=0,
  ""왼쪽에 영어 문장을 입력하세요"",
  GOOGLETRANSLATE(D1114,""en"",""ko"")
)"),"교통 체증은 새들이나 하는 일이다.")</f>
        <v>교통 체증은 새들이나 하는 일이다.</v>
      </c>
      <c r="F1114" s="9" t="s">
        <v>2113</v>
      </c>
    </row>
    <row r="1115" ht="20.25" customHeight="1">
      <c r="A1115" s="5">
        <v>1191.0</v>
      </c>
      <c r="B1115" s="6">
        <v>251224.0</v>
      </c>
      <c r="C1115" s="4"/>
      <c r="D1115" s="15" t="s">
        <v>2114</v>
      </c>
      <c r="E1115" s="8" t="str">
        <f>IFERROR(__xludf.DUMMYFUNCTION("IF(
  LEN(TRIM(D1115))=0,
  ""왼쪽에 영어 문장을 입력하세요"",
  GOOGLETRANSLATE(D1115,""en"",""ko"")
)"),"정말이에요. 지하철이 최고예요.")</f>
        <v>정말이에요. 지하철이 최고예요.</v>
      </c>
      <c r="F1115" s="9" t="s">
        <v>2115</v>
      </c>
    </row>
    <row r="1116" ht="20.25" customHeight="1">
      <c r="A1116" s="5">
        <v>1192.0</v>
      </c>
      <c r="B1116" s="6">
        <v>251224.0</v>
      </c>
      <c r="C1116" s="4"/>
      <c r="D1116" s="15" t="s">
        <v>2116</v>
      </c>
      <c r="E1116" s="8" t="str">
        <f>IFERROR(__xludf.DUMMYFUNCTION("IF(
  LEN(TRIM(D1116))=0,
  ""왼쪽에 영어 문장을 입력하세요"",
  GOOGLETRANSLATE(D1116,""en"",""ko"")
)"),"거의 다 왔어요")</f>
        <v>거의 다 왔어요</v>
      </c>
      <c r="F1116" s="9" t="s">
        <v>2117</v>
      </c>
    </row>
    <row r="1117" ht="20.25" customHeight="1">
      <c r="A1117" s="5">
        <v>1193.0</v>
      </c>
      <c r="B1117" s="6">
        <v>251224.0</v>
      </c>
      <c r="C1117" s="4"/>
      <c r="D1117" s="15" t="s">
        <v>2118</v>
      </c>
      <c r="E1117" s="8" t="str">
        <f>IFERROR(__xludf.DUMMYFUNCTION("IF(
  LEN(TRIM(D1117))=0,
  ""왼쪽에 영어 문장을 입력하세요"",
  GOOGLETRANSLATE(D1117,""en"",""ko"")
)"),"영어 실력이 늘고 있나요?")</f>
        <v>영어 실력이 늘고 있나요?</v>
      </c>
      <c r="F1117" s="9" t="s">
        <v>2119</v>
      </c>
    </row>
    <row r="1118" ht="20.25" customHeight="1">
      <c r="A1118" s="5">
        <v>1194.0</v>
      </c>
      <c r="B1118" s="6">
        <v>251224.0</v>
      </c>
      <c r="C1118" s="4"/>
      <c r="D1118" s="15" t="s">
        <v>2116</v>
      </c>
      <c r="E1118" s="8" t="str">
        <f>IFERROR(__xludf.DUMMYFUNCTION("IF(
  LEN(TRIM(D1118))=0,
  ""왼쪽에 영어 문장을 입력하세요"",
  GOOGLETRANSLATE(D1118,""en"",""ko"")
)"),"거의 다 왔어요")</f>
        <v>거의 다 왔어요</v>
      </c>
      <c r="F1118" s="9" t="s">
        <v>2120</v>
      </c>
    </row>
    <row r="1119" ht="20.25" customHeight="1">
      <c r="A1119" s="5">
        <v>1195.0</v>
      </c>
      <c r="B1119" s="6">
        <v>251224.0</v>
      </c>
      <c r="C1119" s="4"/>
      <c r="D1119" s="15" t="s">
        <v>2121</v>
      </c>
      <c r="E1119" s="8" t="str">
        <f>IFERROR(__xludf.DUMMYFUNCTION("IF(
  LEN(TRIM(D1119))=0,
  ""왼쪽에 영어 문장을 입력하세요"",
  GOOGLETRANSLATE(D1119,""en"",""ko"")
)"),"잊어버려")</f>
        <v>잊어버려</v>
      </c>
      <c r="F1119" s="9" t="s">
        <v>2122</v>
      </c>
    </row>
    <row r="1120" ht="20.25" customHeight="1">
      <c r="A1120" s="5">
        <v>1196.0</v>
      </c>
      <c r="B1120" s="6">
        <v>251224.0</v>
      </c>
      <c r="C1120" s="4"/>
      <c r="D1120" s="15" t="s">
        <v>2123</v>
      </c>
      <c r="E1120" s="8" t="str">
        <f>IFERROR(__xludf.DUMMYFUNCTION("IF(
  LEN(TRIM(D1120))=0,
  ""왼쪽에 영어 문장을 입력하세요"",
  GOOGLETRANSLATE(D1120,""en"",""ko"")
)"),"지난번 일에 대해 죄송합니다")</f>
        <v>지난번 일에 대해 죄송합니다</v>
      </c>
      <c r="F1120" s="9" t="s">
        <v>2124</v>
      </c>
    </row>
    <row r="1121" ht="20.25" customHeight="1">
      <c r="A1121" s="5">
        <v>1197.0</v>
      </c>
      <c r="B1121" s="6">
        <v>251224.0</v>
      </c>
      <c r="C1121" s="4"/>
      <c r="D1121" s="15" t="s">
        <v>2125</v>
      </c>
      <c r="E1121" s="8" t="str">
        <f>IFERROR(__xludf.DUMMYFUNCTION("IF(
  LEN(TRIM(D1121))=0,
  ""왼쪽에 영어 문장을 입력하세요"",
  GOOGLETRANSLATE(D1121,""en"",""ko"")
)"),"잊어버려. 우리 모두 실수를 하잖아.")</f>
        <v>잊어버려. 우리 모두 실수를 하잖아.</v>
      </c>
      <c r="F1121" s="9" t="s">
        <v>2126</v>
      </c>
    </row>
    <row r="1122" ht="20.25" customHeight="1">
      <c r="A1122" s="5">
        <v>1198.0</v>
      </c>
      <c r="B1122" s="6">
        <v>251224.0</v>
      </c>
      <c r="C1122" s="4"/>
      <c r="D1122" s="15" t="s">
        <v>2127</v>
      </c>
      <c r="E1122" s="8" t="str">
        <f>IFERROR(__xludf.DUMMYFUNCTION("IF(
  LEN(TRIM(D1122))=0,
  ""왼쪽에 영어 문장을 입력하세요"",
  GOOGLETRANSLATE(D1122,""en"",""ko"")
)"),"유일무이한")</f>
        <v>유일무이한</v>
      </c>
      <c r="F1122" s="9" t="s">
        <v>2128</v>
      </c>
    </row>
    <row r="1123" ht="20.25" customHeight="1">
      <c r="A1123" s="5">
        <v>1199.0</v>
      </c>
      <c r="B1123" s="6">
        <v>251224.0</v>
      </c>
      <c r="C1123" s="4"/>
      <c r="D1123" s="15" t="s">
        <v>2129</v>
      </c>
      <c r="E1123" s="8" t="str">
        <f>IFERROR(__xludf.DUMMYFUNCTION("IF(
  LEN(TRIM(D1123))=0,
  ""왼쪽에 영어 문장을 입력하세요"",
  GOOGLETRANSLATE(D1123,""en"",""ko"")
)"),"마이크는 정말 독특한 사람이야")</f>
        <v>마이크는 정말 독특한 사람이야</v>
      </c>
      <c r="F1123" s="9" t="s">
        <v>2130</v>
      </c>
    </row>
    <row r="1124" ht="20.25" customHeight="1">
      <c r="A1124" s="5">
        <v>1200.0</v>
      </c>
      <c r="B1124" s="6">
        <v>251224.0</v>
      </c>
      <c r="C1124" s="4"/>
      <c r="D1124" s="15" t="s">
        <v>2131</v>
      </c>
      <c r="E1124" s="8" t="str">
        <f>IFERROR(__xludf.DUMMYFUNCTION("IF(
  LEN(TRIM(D1124))=0,
  ""왼쪽에 영어 문장을 입력하세요"",
  GOOGLETRANSLATE(D1124,""en"",""ko"")
)"),"네. 그는 정말 특별한 사람이에요.")</f>
        <v>네. 그는 정말 특별한 사람이에요.</v>
      </c>
      <c r="F1124" s="9" t="s">
        <v>2132</v>
      </c>
    </row>
    <row r="1125" ht="20.25" customHeight="1">
      <c r="A1125" s="5">
        <v>1201.0</v>
      </c>
      <c r="B1125" s="6">
        <v>251224.0</v>
      </c>
      <c r="C1125" s="4"/>
      <c r="D1125" s="15" t="s">
        <v>2133</v>
      </c>
      <c r="E1125" s="8" t="str">
        <f>IFERROR(__xludf.DUMMYFUNCTION("IF(
  LEN(TRIM(D1125))=0,
  ""왼쪽에 영어 문장을 입력하세요"",
  GOOGLETRANSLATE(D1125,""en"",""ko"")
)"),"못 본 척하다")</f>
        <v>못 본 척하다</v>
      </c>
      <c r="F1125" s="9" t="s">
        <v>2134</v>
      </c>
    </row>
    <row r="1126" ht="20.25" customHeight="1">
      <c r="A1126" s="5">
        <v>1202.0</v>
      </c>
      <c r="B1126" s="6">
        <v>251224.0</v>
      </c>
      <c r="C1126" s="4"/>
      <c r="D1126" s="15" t="s">
        <v>2135</v>
      </c>
      <c r="E1126" s="8" t="str">
        <f>IFERROR(__xludf.DUMMYFUNCTION("IF(
  LEN(TRIM(D1126))=0,
  ""왼쪽에 영어 문장을 입력하세요"",
  GOOGLETRANSLATE(D1126,""en"",""ko"")
)"),"샘은 요즘 술을 많이 마셔요.")</f>
        <v>샘은 요즘 술을 많이 마셔요.</v>
      </c>
      <c r="F1126" s="9" t="s">
        <v>2136</v>
      </c>
    </row>
    <row r="1127" ht="20.25" customHeight="1">
      <c r="A1127" s="5">
        <v>1203.0</v>
      </c>
      <c r="B1127" s="6">
        <v>251224.0</v>
      </c>
      <c r="C1127" s="4"/>
      <c r="D1127" s="15" t="s">
        <v>2137</v>
      </c>
      <c r="E1127" s="8" t="str">
        <f>IFERROR(__xludf.DUMMYFUNCTION("IF(
  LEN(TRIM(D1127))=0,
  ""왼쪽에 영어 문장을 입력하세요"",
  GOOGLETRANSLATE(D1127,""en"",""ko"")
)"),"저도 알아요. 못 본 척해서는 안 돼요.")</f>
        <v>저도 알아요. 못 본 척해서는 안 돼요.</v>
      </c>
      <c r="F1127" s="9" t="s">
        <v>2138</v>
      </c>
    </row>
    <row r="1128" ht="20.25" customHeight="1">
      <c r="A1128" s="5">
        <v>1204.0</v>
      </c>
      <c r="B1128" s="6">
        <v>251224.0</v>
      </c>
      <c r="C1128" s="4"/>
      <c r="D1128" s="15" t="s">
        <v>2139</v>
      </c>
      <c r="E1128" s="8" t="str">
        <f>IFERROR(__xludf.DUMMYFUNCTION("IF(
  LEN(TRIM(D1128))=0,
  ""왼쪽에 영어 문장을 입력하세요"",
  GOOGLETRANSLATE(D1128,""en"",""ko"")
)"),"올드 스쿨")</f>
        <v>올드 스쿨</v>
      </c>
      <c r="F1128" s="9" t="s">
        <v>2140</v>
      </c>
    </row>
    <row r="1129" ht="20.25" customHeight="1">
      <c r="A1129" s="5">
        <v>1205.0</v>
      </c>
      <c r="B1129" s="6">
        <v>251224.0</v>
      </c>
      <c r="C1129" s="4"/>
      <c r="D1129" s="15" t="s">
        <v>2141</v>
      </c>
      <c r="E1129" s="8" t="str">
        <f>IFERROR(__xludf.DUMMYFUNCTION("IF(
  LEN(TRIM(D1129))=0,
  ""왼쪽에 영어 문장을 입력하세요"",
  GOOGLETRANSLATE(D1129,""en"",""ko"")
)"),"혹시 최신형 휴대폰을 가지고 계신가요?")</f>
        <v>혹시 최신형 휴대폰을 가지고 계신가요?</v>
      </c>
      <c r="F1129" s="9" t="s">
        <v>2142</v>
      </c>
    </row>
    <row r="1130" ht="20.25" customHeight="1">
      <c r="A1130" s="5">
        <v>1206.0</v>
      </c>
      <c r="B1130" s="6">
        <v>251224.0</v>
      </c>
      <c r="C1130" s="4"/>
      <c r="D1130" s="15" t="s">
        <v>2143</v>
      </c>
      <c r="E1130" s="8" t="str">
        <f>IFERROR(__xludf.DUMMYFUNCTION("IF(
  LEN(TRIM(D1130))=0,
  ""왼쪽에 영어 문장을 입력하세요"",
  GOOGLETRANSLATE(D1130,""en"",""ko"")
)"),"아니요. 전 여전히 구식이에요.")</f>
        <v>아니요. 전 여전히 구식이에요.</v>
      </c>
      <c r="F1130" s="9" t="s">
        <v>2144</v>
      </c>
    </row>
    <row r="1131" ht="20.25" customHeight="1">
      <c r="A1131" s="5">
        <v>1207.0</v>
      </c>
      <c r="B1131" s="6">
        <v>251224.0</v>
      </c>
      <c r="C1131" s="4"/>
      <c r="D1131" s="15" t="s">
        <v>2145</v>
      </c>
      <c r="E1131" s="8" t="str">
        <f>IFERROR(__xludf.DUMMYFUNCTION("IF(
  LEN(TRIM(D1131))=0,
  ""왼쪽에 영어 문장을 입력하세요"",
  GOOGLETRANSLATE(D1131,""en"",""ko"")
)"),"무리하지 마세요")</f>
        <v>무리하지 마세요</v>
      </c>
      <c r="F1131" s="9" t="s">
        <v>2146</v>
      </c>
    </row>
    <row r="1132" ht="20.25" customHeight="1">
      <c r="A1132" s="5">
        <v>1208.0</v>
      </c>
      <c r="B1132" s="6">
        <v>251224.0</v>
      </c>
      <c r="C1132" s="4"/>
      <c r="D1132" s="15" t="s">
        <v>2147</v>
      </c>
      <c r="E1132" s="8" t="str">
        <f>IFERROR(__xludf.DUMMYFUNCTION("IF(
  LEN(TRIM(D1132))=0,
  ""왼쪽에 영어 문장을 입력하세요"",
  GOOGLETRANSLATE(D1132,""en"",""ko"")
)"),"머리 예쁘네요. 직접 자르셨어요?")</f>
        <v>머리 예쁘네요. 직접 자르셨어요?</v>
      </c>
      <c r="F1132" s="9" t="s">
        <v>2148</v>
      </c>
    </row>
    <row r="1133" ht="20.25" customHeight="1">
      <c r="A1133" s="5">
        <v>1209.0</v>
      </c>
      <c r="B1133" s="6">
        <v>251224.0</v>
      </c>
      <c r="C1133" s="4"/>
      <c r="D1133" s="15" t="s">
        <v>2149</v>
      </c>
      <c r="E1133" s="8" t="str">
        <f>IFERROR(__xludf.DUMMYFUNCTION("IF(
  LEN(TRIM(D1133))=0,
  ""왼쪽에 영어 문장을 입력하세요"",
  GOOGLETRANSLATE(D1133,""en"",""ko"")
)"),"너무 무리시키지 마세요. 오늘 힘든 하루였어요.")</f>
        <v>너무 무리시키지 마세요. 오늘 힘든 하루였어요.</v>
      </c>
      <c r="F1133" s="9" t="s">
        <v>2150</v>
      </c>
    </row>
    <row r="1134" ht="20.25" customHeight="1">
      <c r="A1134" s="5">
        <v>1210.0</v>
      </c>
      <c r="B1134" s="6">
        <v>251224.0</v>
      </c>
      <c r="C1134" s="4"/>
      <c r="D1134" s="15" t="s">
        <v>2151</v>
      </c>
      <c r="E1134" s="8" t="str">
        <f>IFERROR(__xludf.DUMMYFUNCTION("IF(
  LEN(TRIM(D1134))=0,
  ""왼쪽에 영어 문장을 입력하세요"",
  GOOGLETRANSLATE(D1134,""en"",""ko"")
)"),"접전")</f>
        <v>접전</v>
      </c>
      <c r="F1134" s="9" t="s">
        <v>2152</v>
      </c>
    </row>
    <row r="1135" ht="20.25" customHeight="1">
      <c r="A1135" s="5">
        <v>1211.0</v>
      </c>
      <c r="B1135" s="6">
        <v>251224.0</v>
      </c>
      <c r="C1135" s="4"/>
      <c r="D1135" s="15" t="s">
        <v>2153</v>
      </c>
      <c r="E1135" s="8" t="str">
        <f>IFERROR(__xludf.DUMMYFUNCTION("IF(
  LEN(TRIM(D1135))=0,
  ""왼쪽에 영어 문장을 입력하세요"",
  GOOGLETRANSLATE(D1135,""en"",""ko"")
)"),"누가 게임에서 이기고 있나요?")</f>
        <v>누가 게임에서 이기고 있나요?</v>
      </c>
      <c r="F1135" s="9" t="s">
        <v>2154</v>
      </c>
    </row>
    <row r="1136" ht="20.25" customHeight="1">
      <c r="A1136" s="5">
        <v>1212.0</v>
      </c>
      <c r="B1136" s="6">
        <v>251224.0</v>
      </c>
      <c r="C1136" s="4"/>
      <c r="D1136" s="15" t="s">
        <v>2155</v>
      </c>
      <c r="E1136" s="8" t="str">
        <f>IFERROR(__xludf.DUMMYFUNCTION("IF(
  LEN(TRIM(D1136))=0,
  ""왼쪽에 영어 문장을 입력하세요"",
  GOOGLETRANSLATE(D1136,""en"",""ko"")
)"),"현재까지는 접전입니다.")</f>
        <v>현재까지는 접전입니다.</v>
      </c>
      <c r="F1136" s="9" t="s">
        <v>2156</v>
      </c>
    </row>
    <row r="1137" ht="20.25" customHeight="1">
      <c r="A1137" s="5">
        <v>1213.0</v>
      </c>
      <c r="B1137" s="6">
        <v>251224.0</v>
      </c>
      <c r="C1137" s="4"/>
      <c r="D1137" s="15" t="s">
        <v>2157</v>
      </c>
      <c r="E1137" s="8" t="str">
        <f>IFERROR(__xludf.DUMMYFUNCTION("IF(
  LEN(TRIM(D1137))=0,
  ""왼쪽에 영어 문장을 입력하세요"",
  GOOGLETRANSLATE(D1137,""en"",""ko"")
)"),"오늘은 여기까지.")</f>
        <v>오늘은 여기까지.</v>
      </c>
      <c r="F1137" s="9" t="s">
        <v>2158</v>
      </c>
    </row>
    <row r="1138" ht="20.25" customHeight="1">
      <c r="A1138" s="5">
        <v>1214.0</v>
      </c>
      <c r="B1138" s="6">
        <v>251224.0</v>
      </c>
      <c r="C1138" s="4"/>
      <c r="D1138" s="15" t="s">
        <v>2159</v>
      </c>
      <c r="E1138" s="8" t="str">
        <f>IFERROR(__xludf.DUMMYFUNCTION("IF(
  LEN(TRIM(D1138))=0,
  ""왼쪽에 영어 문장을 입력하세요"",
  GOOGLETRANSLATE(D1138,""en"",""ko"")
)"),"늦었고 배가 고프다")</f>
        <v>늦었고 배가 고프다</v>
      </c>
      <c r="F1138" s="9" t="s">
        <v>2160</v>
      </c>
    </row>
    <row r="1139" ht="20.25" customHeight="1">
      <c r="A1139" s="5">
        <v>1215.0</v>
      </c>
      <c r="B1139" s="6">
        <v>251224.0</v>
      </c>
      <c r="C1139" s="4"/>
      <c r="D1139" s="15" t="s">
        <v>2161</v>
      </c>
      <c r="E1139" s="8" t="str">
        <f>IFERROR(__xludf.DUMMYFUNCTION("IF(
  LEN(TRIM(D1139))=0,
  ""왼쪽에 영어 문장을 입력하세요"",
  GOOGLETRANSLATE(D1139,""en"",""ko"")
)"),"자, 이제 그만하자.")</f>
        <v>자, 이제 그만하자.</v>
      </c>
      <c r="F1139" s="9" t="s">
        <v>2162</v>
      </c>
    </row>
    <row r="1140" ht="20.25" customHeight="1">
      <c r="A1140" s="5">
        <v>1216.0</v>
      </c>
      <c r="B1140" s="6">
        <v>251224.0</v>
      </c>
      <c r="C1140" s="4"/>
      <c r="D1140" s="7" t="s">
        <v>2163</v>
      </c>
      <c r="E1140" s="8" t="str">
        <f>IFERROR(__xludf.DUMMYFUNCTION("IF(
  LEN(TRIM(D1140))=0,
  ""왼쪽에 영어 문장을 입력하세요"",
  GOOGLETRANSLATE(D1140,""en"",""ko"")
)"),"외신 기자")</f>
        <v>외신 기자</v>
      </c>
      <c r="F1140" s="9" t="s">
        <v>2164</v>
      </c>
    </row>
    <row r="1141" ht="20.25" customHeight="1">
      <c r="A1141" s="5">
        <v>1217.0</v>
      </c>
      <c r="B1141" s="6">
        <v>251224.0</v>
      </c>
      <c r="C1141" s="4"/>
      <c r="D1141" s="7" t="s">
        <v>2165</v>
      </c>
      <c r="E1141" s="8" t="str">
        <f>IFERROR(__xludf.DUMMYFUNCTION("IF(
  LEN(TRIM(D1141))=0,
  ""왼쪽에 영어 문장을 입력하세요"",
  GOOGLETRANSLATE(D1141,""en"",""ko"")
)"),"부상자들")</f>
        <v>부상자들</v>
      </c>
      <c r="F1141" s="9" t="s">
        <v>2166</v>
      </c>
    </row>
    <row r="1142" ht="20.25" customHeight="1">
      <c r="A1142" s="5">
        <v>1218.0</v>
      </c>
      <c r="B1142" s="6">
        <v>251224.0</v>
      </c>
      <c r="C1142" s="4"/>
      <c r="D1142" s="7" t="s">
        <v>2167</v>
      </c>
      <c r="E1142" s="8" t="str">
        <f>IFERROR(__xludf.DUMMYFUNCTION("IF(
  LEN(TRIM(D1142))=0,
  ""왼쪽에 영어 문장을 입력하세요"",
  GOOGLETRANSLATE(D1142,""en"",""ko"")
)"),"범죄를 저지르다")</f>
        <v>범죄를 저지르다</v>
      </c>
      <c r="F1142" s="9" t="s">
        <v>2168</v>
      </c>
    </row>
    <row r="1143" ht="20.25" customHeight="1">
      <c r="A1143" s="5">
        <v>1219.0</v>
      </c>
      <c r="B1143" s="6">
        <v>251224.0</v>
      </c>
      <c r="C1143" s="4"/>
      <c r="D1143" s="7" t="s">
        <v>2169</v>
      </c>
      <c r="E1143" s="8" t="str">
        <f>IFERROR(__xludf.DUMMYFUNCTION("IF(
  LEN(TRIM(D1143))=0,
  ""왼쪽에 영어 문장을 입력하세요"",
  GOOGLETRANSLATE(D1143,""en"",""ko"")
)"),"짙은 안개")</f>
        <v>짙은 안개</v>
      </c>
      <c r="F1143" s="9" t="s">
        <v>2170</v>
      </c>
    </row>
    <row r="1144" ht="20.25" customHeight="1">
      <c r="A1144" s="5">
        <v>1220.0</v>
      </c>
      <c r="B1144" s="6">
        <v>251224.0</v>
      </c>
      <c r="C1144" s="4"/>
      <c r="D1144" s="7" t="s">
        <v>2171</v>
      </c>
      <c r="E1144" s="8" t="str">
        <f>IFERROR(__xludf.DUMMYFUNCTION("IF(
  LEN(TRIM(D1144))=0,
  ""왼쪽에 영어 문장을 입력하세요"",
  GOOGLETRANSLATE(D1144,""en"",""ko"")
)"),"핸들")</f>
        <v>핸들</v>
      </c>
      <c r="F1144" s="9" t="s">
        <v>2172</v>
      </c>
    </row>
    <row r="1145" ht="20.25" customHeight="1">
      <c r="A1145" s="5">
        <v>1221.0</v>
      </c>
      <c r="B1145" s="6">
        <v>251224.0</v>
      </c>
      <c r="C1145" s="4"/>
      <c r="D1145" s="7" t="s">
        <v>2173</v>
      </c>
      <c r="E1145" s="8" t="str">
        <f>IFERROR(__xludf.DUMMYFUNCTION("IF(
  LEN(TRIM(D1145))=0,
  ""왼쪽에 영어 문장을 입력하세요"",
  GOOGLETRANSLATE(D1145,""en"",""ko"")
)"),"약을 복용하세요")</f>
        <v>약을 복용하세요</v>
      </c>
      <c r="F1145" s="9" t="s">
        <v>2174</v>
      </c>
    </row>
    <row r="1146" ht="20.25" customHeight="1">
      <c r="A1146" s="5">
        <v>1222.0</v>
      </c>
      <c r="B1146" s="6">
        <v>251224.0</v>
      </c>
      <c r="C1146" s="4"/>
      <c r="D1146" s="7" t="s">
        <v>2175</v>
      </c>
      <c r="E1146" s="8" t="str">
        <f>IFERROR(__xludf.DUMMYFUNCTION("IF(
  LEN(TRIM(D1146))=0,
  ""왼쪽에 영어 문장을 입력하세요"",
  GOOGLETRANSLATE(D1146,""en"",""ko"")
)"),"황금 시간대")</f>
        <v>황금 시간대</v>
      </c>
      <c r="F1146" s="9" t="s">
        <v>2176</v>
      </c>
    </row>
    <row r="1147" ht="20.25" customHeight="1">
      <c r="A1147" s="5">
        <v>1223.0</v>
      </c>
      <c r="B1147" s="6">
        <v>251224.0</v>
      </c>
      <c r="C1147" s="4"/>
      <c r="D1147" s="7" t="s">
        <v>2177</v>
      </c>
      <c r="E1147" s="8" t="str">
        <f>IFERROR(__xludf.DUMMYFUNCTION("IF(
  LEN(TRIM(D1147))=0,
  ""왼쪽에 영어 문장을 입력하세요"",
  GOOGLETRANSLATE(D1147,""en"",""ko"")
)"),"사랑의 부족")</f>
        <v>사랑의 부족</v>
      </c>
      <c r="F1147" s="9" t="s">
        <v>2178</v>
      </c>
    </row>
    <row r="1148" ht="20.25" customHeight="1">
      <c r="A1148" s="5">
        <v>1224.0</v>
      </c>
      <c r="B1148" s="6">
        <v>251224.0</v>
      </c>
      <c r="C1148" s="4"/>
      <c r="D1148" s="7" t="s">
        <v>2179</v>
      </c>
      <c r="E1148" s="8" t="str">
        <f>IFERROR(__xludf.DUMMYFUNCTION("IF(
  LEN(TRIM(D1148))=0,
  ""왼쪽에 영어 문장을 입력하세요"",
  GOOGLETRANSLATE(D1148,""en"",""ko"")
)"),"맨살")</f>
        <v>맨살</v>
      </c>
      <c r="F1148" s="9" t="s">
        <v>2180</v>
      </c>
    </row>
    <row r="1149" ht="20.25" customHeight="1">
      <c r="A1149" s="5">
        <v>1225.0</v>
      </c>
      <c r="B1149" s="6">
        <v>251224.0</v>
      </c>
      <c r="C1149" s="4"/>
      <c r="D1149" s="7" t="s">
        <v>2181</v>
      </c>
      <c r="E1149" s="8" t="str">
        <f>IFERROR(__xludf.DUMMYFUNCTION("IF(
  LEN(TRIM(D1149))=0,
  ""왼쪽에 영어 문장을 입력하세요"",
  GOOGLETRANSLATE(D1149,""en"",""ko"")
)"),"연고를 바르세요")</f>
        <v>연고를 바르세요</v>
      </c>
      <c r="F1149" s="9" t="s">
        <v>2182</v>
      </c>
    </row>
    <row r="1150" ht="20.25" customHeight="1">
      <c r="A1150" s="5">
        <v>1226.0</v>
      </c>
      <c r="B1150" s="6">
        <v>251224.0</v>
      </c>
      <c r="C1150" s="4"/>
      <c r="D1150" s="7" t="s">
        <v>2183</v>
      </c>
      <c r="E1150" s="8" t="str">
        <f>IFERROR(__xludf.DUMMYFUNCTION("IF(
  LEN(TRIM(D1150))=0,
  ""왼쪽에 영어 문장을 입력하세요"",
  GOOGLETRANSLATE(D1150,""en"",""ko"")
)"),"군대에 입대하세요")</f>
        <v>군대에 입대하세요</v>
      </c>
      <c r="F1150" s="9" t="s">
        <v>2184</v>
      </c>
    </row>
    <row r="1151" ht="20.25" customHeight="1">
      <c r="A1151" s="5">
        <v>1227.0</v>
      </c>
      <c r="B1151" s="6">
        <v>251224.0</v>
      </c>
      <c r="C1151" s="4"/>
      <c r="D1151" s="7" t="s">
        <v>2185</v>
      </c>
      <c r="E1151" s="8" t="str">
        <f>IFERROR(__xludf.DUMMYFUNCTION("IF(
  LEN(TRIM(D1151))=0,
  ""왼쪽에 영어 문장을 입력하세요"",
  GOOGLETRANSLATE(D1151,""en"",""ko"")
)"),"방울뱀")</f>
        <v>방울뱀</v>
      </c>
      <c r="F1151" s="9" t="s">
        <v>2186</v>
      </c>
    </row>
    <row r="1152" ht="20.25" customHeight="1">
      <c r="A1152" s="5">
        <v>1228.0</v>
      </c>
      <c r="B1152" s="6">
        <v>251224.0</v>
      </c>
      <c r="C1152" s="4"/>
      <c r="D1152" s="7" t="s">
        <v>2187</v>
      </c>
      <c r="E1152" s="8" t="str">
        <f>IFERROR(__xludf.DUMMYFUNCTION("IF(
  LEN(TRIM(D1152))=0,
  ""왼쪽에 영어 문장을 입력하세요"",
  GOOGLETRANSLATE(D1152,""en"",""ko"")
)"),"대수술/대규모 수술")</f>
        <v>대수술/대규모 수술</v>
      </c>
      <c r="F1152" s="9" t="s">
        <v>2188</v>
      </c>
    </row>
    <row r="1153" ht="20.25" customHeight="1">
      <c r="A1153" s="5">
        <v>1229.0</v>
      </c>
      <c r="B1153" s="6">
        <v>251224.0</v>
      </c>
      <c r="C1153" s="4"/>
      <c r="D1153" s="7" t="s">
        <v>2189</v>
      </c>
      <c r="E1153" s="8" t="str">
        <f>IFERROR(__xludf.DUMMYFUNCTION("IF(
  LEN(TRIM(D1153))=0,
  ""왼쪽에 영어 문장을 입력하세요"",
  GOOGLETRANSLATE(D1153,""en"",""ko"")
)"),"칠흑같이 어두워요")</f>
        <v>칠흑같이 어두워요</v>
      </c>
      <c r="F1153" s="9" t="s">
        <v>2190</v>
      </c>
    </row>
    <row r="1154" ht="20.25" customHeight="1">
      <c r="A1154" s="5">
        <v>1230.0</v>
      </c>
      <c r="B1154" s="6">
        <v>251224.0</v>
      </c>
      <c r="C1154" s="4"/>
      <c r="D1154" s="7" t="s">
        <v>2191</v>
      </c>
      <c r="E1154" s="8" t="str">
        <f>IFERROR(__xludf.DUMMYFUNCTION("IF(
  LEN(TRIM(D1154))=0,
  ""왼쪽에 영어 문장을 입력하세요"",
  GOOGLETRANSLATE(D1154,""en"",""ko"")
)"),"헛된 약속")</f>
        <v>헛된 약속</v>
      </c>
      <c r="F1154" s="9" t="s">
        <v>2192</v>
      </c>
    </row>
    <row r="1155" ht="20.25" customHeight="1">
      <c r="A1155" s="5">
        <v>1231.0</v>
      </c>
      <c r="B1155" s="6">
        <v>251224.0</v>
      </c>
      <c r="C1155" s="4"/>
      <c r="D1155" s="7" t="s">
        <v>2193</v>
      </c>
      <c r="E1155" s="8" t="str">
        <f>IFERROR(__xludf.DUMMYFUNCTION("IF(
  LEN(TRIM(D1155))=0,
  ""왼쪽에 영어 문장을 입력하세요"",
  GOOGLETRANSLATE(D1155,""en"",""ko"")
)"),"헌혈")</f>
        <v>헌혈</v>
      </c>
      <c r="F1155" s="9" t="s">
        <v>2194</v>
      </c>
    </row>
    <row r="1156" ht="20.25" customHeight="1">
      <c r="A1156" s="5">
        <v>1232.0</v>
      </c>
      <c r="B1156" s="6">
        <v>251224.0</v>
      </c>
      <c r="C1156" s="4"/>
      <c r="D1156" s="7" t="s">
        <v>2195</v>
      </c>
      <c r="E1156" s="8" t="str">
        <f>IFERROR(__xludf.DUMMYFUNCTION("IF(
  LEN(TRIM(D1156))=0,
  ""왼쪽에 영어 문장을 입력하세요"",
  GOOGLETRANSLATE(D1156,""en"",""ko"")
)"),"혈관")</f>
        <v>혈관</v>
      </c>
      <c r="F1156" s="9" t="s">
        <v>2196</v>
      </c>
    </row>
    <row r="1157" ht="20.25" customHeight="1">
      <c r="A1157" s="5">
        <v>1233.0</v>
      </c>
      <c r="B1157" s="6">
        <v>251224.0</v>
      </c>
      <c r="C1157" s="4"/>
      <c r="D1157" s="7" t="s">
        <v>2197</v>
      </c>
      <c r="E1157" s="8" t="str">
        <f>IFERROR(__xludf.DUMMYFUNCTION("IF(
  LEN(TRIM(D1157))=0,
  ""왼쪽에 영어 문장을 입력하세요"",
  GOOGLETRANSLATE(D1157,""en"",""ko"")
)"),"체취")</f>
        <v>체취</v>
      </c>
      <c r="F1157" s="9" t="s">
        <v>2198</v>
      </c>
    </row>
    <row r="1158" ht="20.25" customHeight="1">
      <c r="A1158" s="5">
        <v>1234.0</v>
      </c>
      <c r="B1158" s="6">
        <v>251224.0</v>
      </c>
      <c r="C1158" s="4"/>
      <c r="D1158" s="7" t="s">
        <v>2199</v>
      </c>
      <c r="E1158" s="8" t="str">
        <f>IFERROR(__xludf.DUMMYFUNCTION("IF(
  LEN(TRIM(D1158))=0,
  ""왼쪽에 영어 문장을 입력하세요"",
  GOOGLETRANSLATE(D1158,""en"",""ko"")
)"),"천적")</f>
        <v>천적</v>
      </c>
      <c r="F1158" s="9" t="s">
        <v>2200</v>
      </c>
    </row>
    <row r="1159" ht="20.25" customHeight="1">
      <c r="A1159" s="5">
        <v>1235.0</v>
      </c>
      <c r="B1159" s="6">
        <v>251224.0</v>
      </c>
      <c r="C1159" s="4"/>
      <c r="D1159" s="7" t="s">
        <v>2201</v>
      </c>
      <c r="E1159" s="8" t="str">
        <f>IFERROR(__xludf.DUMMYFUNCTION("IF(
  LEN(TRIM(D1159))=0,
  ""왼쪽에 영어 문장을 입력하세요"",
  GOOGLETRANSLATE(D1159,""en"",""ko"")
)"),"화제를 바꾸다")</f>
        <v>화제를 바꾸다</v>
      </c>
      <c r="F1159" s="9" t="s">
        <v>2202</v>
      </c>
    </row>
    <row r="1160" ht="20.25" customHeight="1">
      <c r="A1160" s="5">
        <v>1236.0</v>
      </c>
      <c r="B1160" s="6">
        <v>251224.0</v>
      </c>
      <c r="C1160" s="4"/>
      <c r="D1160" s="7" t="s">
        <v>2203</v>
      </c>
      <c r="E1160" s="8" t="str">
        <f>IFERROR(__xludf.DUMMYFUNCTION("IF(
  LEN(TRIM(D1160))=0,
  ""왼쪽에 영어 문장을 입력하세요"",
  GOOGLETRANSLATE(D1160,""en"",""ko"")
)"),"한부모")</f>
        <v>한부모</v>
      </c>
      <c r="F1160" s="9" t="s">
        <v>2204</v>
      </c>
    </row>
    <row r="1161" ht="20.25" customHeight="1">
      <c r="A1161" s="5">
        <v>1237.0</v>
      </c>
      <c r="B1161" s="6">
        <v>251224.0</v>
      </c>
      <c r="C1161" s="4"/>
      <c r="D1161" s="7" t="s">
        <v>2205</v>
      </c>
      <c r="E1161" s="8" t="str">
        <f>IFERROR(__xludf.DUMMYFUNCTION("IF(
  LEN(TRIM(D1161))=0,
  ""왼쪽에 영어 문장을 입력하세요"",
  GOOGLETRANSLATE(D1161,""en"",""ko"")
)"),"독감 예방 접종")</f>
        <v>독감 예방 접종</v>
      </c>
      <c r="F1161" s="9" t="s">
        <v>2206</v>
      </c>
    </row>
    <row r="1162" ht="20.25" customHeight="1">
      <c r="A1162" s="5">
        <v>1238.0</v>
      </c>
      <c r="B1162" s="6">
        <v>251224.0</v>
      </c>
      <c r="C1162" s="4"/>
      <c r="D1162" s="7" t="s">
        <v>2207</v>
      </c>
      <c r="E1162" s="8" t="str">
        <f>IFERROR(__xludf.DUMMYFUNCTION("IF(
  LEN(TRIM(D1162))=0,
  ""왼쪽에 영어 문장을 입력하세요"",
  GOOGLETRANSLATE(D1162,""en"",""ko"")
)"),"간결한 설명")</f>
        <v>간결한 설명</v>
      </c>
      <c r="F1162" s="9" t="s">
        <v>2208</v>
      </c>
    </row>
    <row r="1163" ht="20.25" customHeight="1">
      <c r="A1163" s="5">
        <v>1239.0</v>
      </c>
      <c r="B1163" s="6">
        <v>251224.0</v>
      </c>
      <c r="C1163" s="4"/>
      <c r="D1163" s="7" t="s">
        <v>2209</v>
      </c>
      <c r="E1163" s="8" t="str">
        <f>IFERROR(__xludf.DUMMYFUNCTION("IF(
  LEN(TRIM(D1163))=0,
  ""왼쪽에 영어 문장을 입력하세요"",
  GOOGLETRANSLATE(D1163,""en"",""ko"")
)"),"가짜 미소")</f>
        <v>가짜 미소</v>
      </c>
      <c r="F1163" s="9" t="s">
        <v>2210</v>
      </c>
    </row>
    <row r="1164" ht="20.25" customHeight="1">
      <c r="A1164" s="5">
        <v>1240.0</v>
      </c>
      <c r="B1164" s="6">
        <v>251224.0</v>
      </c>
      <c r="C1164" s="4"/>
      <c r="D1164" s="7" t="s">
        <v>2211</v>
      </c>
      <c r="E1164" s="8" t="str">
        <f>IFERROR(__xludf.DUMMYFUNCTION("IF(
  LEN(TRIM(D1164))=0,
  ""왼쪽에 영어 문장을 입력하세요"",
  GOOGLETRANSLATE(D1164,""en"",""ko"")
)"),"구체적인 예")</f>
        <v>구체적인 예</v>
      </c>
      <c r="F1164" s="9" t="s">
        <v>2212</v>
      </c>
    </row>
    <row r="1165" ht="20.25" customHeight="1">
      <c r="A1165" s="5">
        <v>1241.0</v>
      </c>
      <c r="B1165" s="6">
        <v>251224.0</v>
      </c>
      <c r="C1165" s="4"/>
      <c r="D1165" s="7" t="s">
        <v>2213</v>
      </c>
      <c r="E1165" s="8" t="str">
        <f>IFERROR(__xludf.DUMMYFUNCTION("IF(
  LEN(TRIM(D1165))=0,
  ""왼쪽에 영어 문장을 입력하세요"",
  GOOGLETRANSLATE(D1165,""en"",""ko"")
)"),"역효과/반발/부작용")</f>
        <v>역효과/반발/부작용</v>
      </c>
      <c r="F1165" s="9" t="s">
        <v>1049</v>
      </c>
    </row>
    <row r="1166" ht="20.25" customHeight="1">
      <c r="A1166" s="5">
        <v>1242.0</v>
      </c>
      <c r="B1166" s="6">
        <v>251224.0</v>
      </c>
      <c r="C1166" s="4"/>
      <c r="D1166" s="7" t="s">
        <v>2214</v>
      </c>
      <c r="E1166" s="8" t="str">
        <f>IFERROR(__xludf.DUMMYFUNCTION("IF(
  LEN(TRIM(D1166))=0,
  ""왼쪽에 영어 문장을 입력하세요"",
  GOOGLETRANSLATE(D1166,""en"",""ko"")
)"),"텔레비전을 시청하세요")</f>
        <v>텔레비전을 시청하세요</v>
      </c>
      <c r="F1166" s="9" t="s">
        <v>2215</v>
      </c>
    </row>
    <row r="1167" ht="20.25" customHeight="1">
      <c r="A1167" s="5">
        <v>1243.0</v>
      </c>
      <c r="B1167" s="6">
        <v>251224.0</v>
      </c>
      <c r="C1167" s="4"/>
      <c r="D1167" s="7" t="s">
        <v>2216</v>
      </c>
      <c r="E1167" s="8" t="str">
        <f>IFERROR(__xludf.DUMMYFUNCTION("IF(
  LEN(TRIM(D1167))=0,
  ""왼쪽에 영어 문장을 입력하세요"",
  GOOGLETRANSLATE(D1167,""en"",""ko"")
)"),"소떼")</f>
        <v>소떼</v>
      </c>
      <c r="F1167" s="9" t="s">
        <v>2217</v>
      </c>
    </row>
    <row r="1168" ht="20.25" customHeight="1">
      <c r="A1168" s="5">
        <v>1244.0</v>
      </c>
      <c r="B1168" s="6">
        <v>251224.0</v>
      </c>
      <c r="C1168" s="4"/>
      <c r="D1168" s="7" t="s">
        <v>2218</v>
      </c>
      <c r="E1168" s="8" t="str">
        <f>IFERROR(__xludf.DUMMYFUNCTION("IF(
  LEN(TRIM(D1168))=0,
  ""왼쪽에 영어 문장을 입력하세요"",
  GOOGLETRANSLATE(D1168,""en"",""ko"")
)"),"가전제품")</f>
        <v>가전제품</v>
      </c>
      <c r="F1168" s="9" t="s">
        <v>2219</v>
      </c>
    </row>
    <row r="1169" ht="20.25" customHeight="1">
      <c r="A1169" s="5">
        <v>1245.0</v>
      </c>
      <c r="B1169" s="6">
        <v>251224.0</v>
      </c>
      <c r="C1169" s="4"/>
      <c r="D1169" s="7" t="s">
        <v>2220</v>
      </c>
      <c r="E1169" s="8" t="str">
        <f>IFERROR(__xludf.DUMMYFUNCTION("IF(
  LEN(TRIM(D1169))=0,
  ""왼쪽에 영어 문장을 입력하세요"",
  GOOGLETRANSLATE(D1169,""en"",""ko"")
)"),"전화를 받으세요")</f>
        <v>전화를 받으세요</v>
      </c>
      <c r="F1169" s="9" t="s">
        <v>2221</v>
      </c>
    </row>
    <row r="1170" ht="20.25" customHeight="1">
      <c r="A1170" s="5">
        <v>1246.0</v>
      </c>
      <c r="B1170" s="6">
        <v>251224.0</v>
      </c>
      <c r="C1170" s="4"/>
      <c r="D1170" s="7" t="s">
        <v>2222</v>
      </c>
      <c r="E1170" s="8" t="str">
        <f>IFERROR(__xludf.DUMMYFUNCTION("IF(
  LEN(TRIM(D1170))=0,
  ""왼쪽에 영어 문장을 입력하세요"",
  GOOGLETRANSLATE(D1170,""en"",""ko"")
)"),"안경을 쓰다")</f>
        <v>안경을 쓰다</v>
      </c>
      <c r="F1170" s="9" t="s">
        <v>2223</v>
      </c>
    </row>
    <row r="1171" ht="20.25" customHeight="1">
      <c r="A1171" s="5">
        <v>1247.0</v>
      </c>
      <c r="B1171" s="6">
        <v>251224.0</v>
      </c>
      <c r="C1171" s="4"/>
      <c r="D1171" s="7" t="s">
        <v>2224</v>
      </c>
      <c r="E1171" s="8" t="str">
        <f>IFERROR(__xludf.DUMMYFUNCTION("IF(
  LEN(TRIM(D1171))=0,
  ""왼쪽에 영어 문장을 입력하세요"",
  GOOGLETRANSLATE(D1171,""en"",""ko"")
)"),"투명인간")</f>
        <v>투명인간</v>
      </c>
      <c r="F1171" s="9" t="s">
        <v>2225</v>
      </c>
    </row>
    <row r="1172" ht="20.25" customHeight="1">
      <c r="A1172" s="5">
        <v>1248.0</v>
      </c>
      <c r="B1172" s="6">
        <v>251224.0</v>
      </c>
      <c r="C1172" s="4"/>
      <c r="D1172" s="7" t="s">
        <v>2226</v>
      </c>
      <c r="E1172" s="8" t="str">
        <f>IFERROR(__xludf.DUMMYFUNCTION("IF(
  LEN(TRIM(D1172))=0,
  ""왼쪽에 영어 문장을 입력하세요"",
  GOOGLETRANSLATE(D1172,""en"",""ko"")
)"),"멀미")</f>
        <v>멀미</v>
      </c>
      <c r="F1172" s="9" t="s">
        <v>2227</v>
      </c>
    </row>
    <row r="1173" ht="20.25" customHeight="1">
      <c r="A1173" s="5">
        <v>1249.0</v>
      </c>
      <c r="B1173" s="6">
        <v>251224.0</v>
      </c>
      <c r="C1173" s="4"/>
      <c r="D1173" s="7" t="s">
        <v>2228</v>
      </c>
      <c r="E1173" s="8" t="str">
        <f>IFERROR(__xludf.DUMMYFUNCTION("IF(
  LEN(TRIM(D1173))=0,
  ""왼쪽에 영어 문장을 입력하세요"",
  GOOGLETRANSLATE(D1173,""en"",""ko"")
)"),"주문하기")</f>
        <v>주문하기</v>
      </c>
      <c r="F1173" s="9" t="s">
        <v>2229</v>
      </c>
    </row>
    <row r="1174" ht="20.25" customHeight="1">
      <c r="A1174" s="5">
        <v>1250.0</v>
      </c>
      <c r="B1174" s="6">
        <v>251224.0</v>
      </c>
      <c r="C1174" s="4"/>
      <c r="D1174" s="7" t="s">
        <v>2230</v>
      </c>
      <c r="E1174" s="8" t="str">
        <f>IFERROR(__xludf.DUMMYFUNCTION("IF(
  LEN(TRIM(D1174))=0,
  ""왼쪽에 영어 문장을 입력하세요"",
  GOOGLETRANSLATE(D1174,""en"",""ko"")
)"),"이중 국적")</f>
        <v>이중 국적</v>
      </c>
      <c r="F1174" s="9" t="s">
        <v>2231</v>
      </c>
    </row>
    <row r="1175" ht="20.25" customHeight="1">
      <c r="A1175" s="5">
        <v>1251.0</v>
      </c>
      <c r="B1175" s="6">
        <v>251224.0</v>
      </c>
      <c r="C1175" s="4"/>
      <c r="D1175" s="7" t="s">
        <v>2232</v>
      </c>
      <c r="E1175" s="8" t="str">
        <f>IFERROR(__xludf.DUMMYFUNCTION("IF(
  LEN(TRIM(D1175))=0,
  ""왼쪽에 영어 문장을 입력하세요"",
  GOOGLETRANSLATE(D1175,""en"",""ko"")
)"),"복장 규정")</f>
        <v>복장 규정</v>
      </c>
      <c r="F1175" s="9" t="s">
        <v>2233</v>
      </c>
    </row>
    <row r="1176" ht="20.25" customHeight="1">
      <c r="A1176" s="5">
        <v>1252.0</v>
      </c>
      <c r="B1176" s="6">
        <v>251224.0</v>
      </c>
      <c r="C1176" s="4"/>
      <c r="D1176" s="7" t="s">
        <v>2234</v>
      </c>
      <c r="E1176" s="8" t="str">
        <f>IFERROR(__xludf.DUMMYFUNCTION("IF(
  LEN(TRIM(D1176))=0,
  ""왼쪽에 영어 문장을 입력하세요"",
  GOOGLETRANSLATE(D1176,""en"",""ko"")
)"),"못을 박다")</f>
        <v>못을 박다</v>
      </c>
      <c r="F1176" s="9" t="s">
        <v>2235</v>
      </c>
    </row>
    <row r="1177" ht="20.25" customHeight="1">
      <c r="A1177" s="5">
        <v>1253.0</v>
      </c>
      <c r="B1177" s="6">
        <v>251224.0</v>
      </c>
      <c r="C1177" s="4"/>
      <c r="D1177" s="7" t="s">
        <v>2236</v>
      </c>
      <c r="E1177" s="8" t="str">
        <f>IFERROR(__xludf.DUMMYFUNCTION("IF(
  LEN(TRIM(D1177))=0,
  ""왼쪽에 영어 문장을 입력하세요"",
  GOOGLETRANSLATE(D1177,""en"",""ko"")
)"),"경제 전문 기자")</f>
        <v>경제 전문 기자</v>
      </c>
      <c r="F1177" s="9" t="s">
        <v>2237</v>
      </c>
    </row>
    <row r="1178" ht="20.25" customHeight="1">
      <c r="A1178" s="5">
        <v>1254.0</v>
      </c>
      <c r="B1178" s="6">
        <v>251224.0</v>
      </c>
      <c r="C1178" s="4"/>
      <c r="D1178" s="7" t="s">
        <v>2238</v>
      </c>
      <c r="E1178" s="8" t="str">
        <f>IFERROR(__xludf.DUMMYFUNCTION("IF(
  LEN(TRIM(D1178))=0,
  ""왼쪽에 영어 문장을 입력하세요"",
  GOOGLETRANSLATE(D1178,""en"",""ko"")
)"),"타원형 얼굴")</f>
        <v>타원형 얼굴</v>
      </c>
      <c r="F1178" s="9" t="s">
        <v>2239</v>
      </c>
    </row>
    <row r="1179" ht="20.25" customHeight="1">
      <c r="A1179" s="5">
        <v>1255.0</v>
      </c>
      <c r="B1179" s="6">
        <v>251224.0</v>
      </c>
      <c r="C1179" s="4"/>
      <c r="D1179" s="7" t="s">
        <v>2240</v>
      </c>
      <c r="E1179" s="8" t="str">
        <f>IFERROR(__xludf.DUMMYFUNCTION("IF(
  LEN(TRIM(D1179))=0,
  ""왼쪽에 영어 문장을 입력하세요"",
  GOOGLETRANSLATE(D1179,""en"",""ko"")
)"),"전자 제품.")</f>
        <v>전자 제품.</v>
      </c>
      <c r="F1179" s="9" t="s">
        <v>2241</v>
      </c>
    </row>
    <row r="1180" ht="20.25" customHeight="1">
      <c r="A1180" s="5">
        <v>1256.0</v>
      </c>
      <c r="B1180" s="6">
        <v>251224.0</v>
      </c>
      <c r="C1180" s="4"/>
      <c r="D1180" s="7" t="s">
        <v>2242</v>
      </c>
      <c r="E1180" s="8" t="str">
        <f>IFERROR(__xludf.DUMMYFUNCTION("IF(
  LEN(TRIM(D1180))=0,
  ""왼쪽에 영어 문장을 입력하세요"",
  GOOGLETRANSLATE(D1180,""en"",""ko"")
)"),"인사 관리자")</f>
        <v>인사 관리자</v>
      </c>
      <c r="F1180" s="9" t="s">
        <v>2243</v>
      </c>
    </row>
    <row r="1181" ht="20.25" customHeight="1">
      <c r="A1181" s="5">
        <v>1257.0</v>
      </c>
      <c r="B1181" s="6">
        <v>251224.0</v>
      </c>
      <c r="C1181" s="4"/>
      <c r="D1181" s="7" t="s">
        <v>2244</v>
      </c>
      <c r="E1181" s="8" t="str">
        <f>IFERROR(__xludf.DUMMYFUNCTION("IF(
  LEN(TRIM(D1181))=0,
  ""왼쪽에 영어 문장을 입력하세요"",
  GOOGLETRANSLATE(D1181,""en"",""ko"")
)"),"만료일")</f>
        <v>만료일</v>
      </c>
      <c r="F1181" s="9" t="s">
        <v>2245</v>
      </c>
    </row>
    <row r="1182" ht="20.25" customHeight="1">
      <c r="A1182" s="5">
        <v>1258.0</v>
      </c>
      <c r="B1182" s="6">
        <v>251224.0</v>
      </c>
      <c r="C1182" s="4"/>
      <c r="D1182" s="7" t="s">
        <v>2246</v>
      </c>
      <c r="E1182" s="8" t="str">
        <f>IFERROR(__xludf.DUMMYFUNCTION("IF(
  LEN(TRIM(D1182))=0,
  ""왼쪽에 영어 문장을 입력하세요"",
  GOOGLETRANSLATE(D1182,""en"",""ko"")
)"),"모욕을 삼키다")</f>
        <v>모욕을 삼키다</v>
      </c>
      <c r="F1182" s="9" t="s">
        <v>2247</v>
      </c>
    </row>
    <row r="1183" ht="20.25" customHeight="1">
      <c r="A1183" s="5">
        <v>1259.0</v>
      </c>
      <c r="B1183" s="6">
        <v>251224.0</v>
      </c>
      <c r="C1183" s="4"/>
      <c r="D1183" s="7" t="s">
        <v>2248</v>
      </c>
      <c r="E1183" s="8" t="str">
        <f>IFERROR(__xludf.DUMMYFUNCTION("IF(
  LEN(TRIM(D1183))=0,
  ""왼쪽에 영어 문장을 입력하세요"",
  GOOGLETRANSLATE(D1183,""en"",""ko"")
)"),"확연한 차이/분명한 차이")</f>
        <v>확연한 차이/분명한 차이</v>
      </c>
      <c r="F1183" s="9" t="s">
        <v>2249</v>
      </c>
    </row>
    <row r="1184" ht="20.25" customHeight="1">
      <c r="A1184" s="5">
        <v>1260.0</v>
      </c>
      <c r="B1184" s="6">
        <v>251224.0</v>
      </c>
      <c r="C1184" s="4"/>
      <c r="D1184" s="7" t="s">
        <v>2250</v>
      </c>
      <c r="E1184" s="8" t="str">
        <f>IFERROR(__xludf.DUMMYFUNCTION("IF(
  LEN(TRIM(D1184))=0,
  ""왼쪽에 영어 문장을 입력하세요"",
  GOOGLETRANSLATE(D1184,""en"",""ko"")
)"),"악순환")</f>
        <v>악순환</v>
      </c>
      <c r="F1184" s="9" t="s">
        <v>2251</v>
      </c>
    </row>
    <row r="1185" ht="20.25" customHeight="1">
      <c r="A1185" s="5">
        <v>1261.0</v>
      </c>
      <c r="B1185" s="6">
        <v>251224.0</v>
      </c>
      <c r="C1185" s="4"/>
      <c r="D1185" s="7" t="s">
        <v>2252</v>
      </c>
      <c r="E1185" s="8" t="str">
        <f>IFERROR(__xludf.DUMMYFUNCTION("IF(
  LEN(TRIM(D1185))=0,
  ""왼쪽에 영어 문장을 입력하세요"",
  GOOGLETRANSLATE(D1185,""en"",""ko"")
)"),"선순환")</f>
        <v>선순환</v>
      </c>
      <c r="F1185" s="9" t="s">
        <v>2253</v>
      </c>
    </row>
    <row r="1186" ht="20.25" customHeight="1">
      <c r="A1186" s="5">
        <v>1262.0</v>
      </c>
      <c r="B1186" s="6">
        <v>251224.0</v>
      </c>
      <c r="C1186" s="4"/>
      <c r="D1186" s="7" t="s">
        <v>2254</v>
      </c>
      <c r="E1186" s="8" t="str">
        <f>IFERROR(__xludf.DUMMYFUNCTION("IF(
  LEN(TRIM(D1186))=0,
  ""왼쪽에 영어 문장을 입력하세요"",
  GOOGLETRANSLATE(D1186,""en"",""ko"")
)"),"부작용")</f>
        <v>부작용</v>
      </c>
      <c r="F1186" s="9" t="s">
        <v>2255</v>
      </c>
    </row>
    <row r="1187" ht="20.25" customHeight="1">
      <c r="A1187" s="5">
        <v>1263.0</v>
      </c>
      <c r="B1187" s="6">
        <v>251224.0</v>
      </c>
      <c r="C1187" s="4"/>
      <c r="D1187" s="7" t="s">
        <v>2256</v>
      </c>
      <c r="E1187" s="8" t="str">
        <f>IFERROR(__xludf.DUMMYFUNCTION("IF(
  LEN(TRIM(D1187))=0,
  ""왼쪽에 영어 문장을 입력하세요"",
  GOOGLETRANSLATE(D1187,""en"",""ko"")
)"),"격렬한 논쟁/토론")</f>
        <v>격렬한 논쟁/토론</v>
      </c>
      <c r="F1187" s="9" t="s">
        <v>2257</v>
      </c>
    </row>
    <row r="1188" ht="20.25" customHeight="1">
      <c r="A1188" s="5">
        <v>1264.0</v>
      </c>
      <c r="B1188" s="6">
        <v>251224.0</v>
      </c>
      <c r="C1188" s="4"/>
      <c r="D1188" s="7" t="s">
        <v>2258</v>
      </c>
      <c r="E1188" s="8" t="str">
        <f>IFERROR(__xludf.DUMMYFUNCTION("IF(
  LEN(TRIM(D1188))=0,
  ""왼쪽에 영어 문장을 입력하세요"",
  GOOGLETRANSLATE(D1188,""en"",""ko"")
)"),"외딴 마을")</f>
        <v>외딴 마을</v>
      </c>
      <c r="F1188" s="9" t="s">
        <v>2259</v>
      </c>
    </row>
    <row r="1189" ht="20.25" customHeight="1">
      <c r="A1189" s="5">
        <v>1265.0</v>
      </c>
      <c r="B1189" s="6">
        <v>251224.0</v>
      </c>
      <c r="C1189" s="4"/>
      <c r="D1189" s="7" t="s">
        <v>2260</v>
      </c>
      <c r="E1189" s="8" t="str">
        <f>IFERROR(__xludf.DUMMYFUNCTION("IF(
  LEN(TRIM(D1189))=0,
  ""왼쪽에 영어 문장을 입력하세요"",
  GOOGLETRANSLATE(D1189,""en"",""ko"")
)"),"응급 처치.")</f>
        <v>응급 처치.</v>
      </c>
      <c r="F1189" s="9" t="s">
        <v>2261</v>
      </c>
    </row>
    <row r="1190" ht="20.25" customHeight="1">
      <c r="A1190" s="5">
        <v>1266.0</v>
      </c>
      <c r="B1190" s="6">
        <v>251224.0</v>
      </c>
      <c r="C1190" s="4"/>
      <c r="D1190" s="7" t="s">
        <v>2262</v>
      </c>
      <c r="E1190" s="8" t="str">
        <f>IFERROR(__xludf.DUMMYFUNCTION("IF(
  LEN(TRIM(D1190))=0,
  ""왼쪽에 영어 문장을 입력하세요"",
  GOOGLETRANSLATE(D1190,""en"",""ko"")
)"),"노인성 순간")</f>
        <v>노인성 순간</v>
      </c>
      <c r="F1190" s="9" t="s">
        <v>2263</v>
      </c>
    </row>
    <row r="1191" ht="20.25" customHeight="1">
      <c r="A1191" s="5">
        <v>1267.0</v>
      </c>
      <c r="B1191" s="6">
        <v>251224.0</v>
      </c>
      <c r="C1191" s="4"/>
      <c r="D1191" s="7" t="s">
        <v>2264</v>
      </c>
      <c r="E1191" s="8" t="str">
        <f>IFERROR(__xludf.DUMMYFUNCTION("IF(
  LEN(TRIM(D1191))=0,
  ""왼쪽에 영어 문장을 입력하세요"",
  GOOGLETRANSLATE(D1191,""en"",""ko"")
)"),"꽃 향기")</f>
        <v>꽃 향기</v>
      </c>
      <c r="F1191" s="9" t="s">
        <v>2265</v>
      </c>
    </row>
    <row r="1192" ht="20.25" customHeight="1">
      <c r="A1192" s="5">
        <v>1268.0</v>
      </c>
      <c r="B1192" s="6">
        <v>251224.0</v>
      </c>
      <c r="C1192" s="4"/>
      <c r="D1192" s="7" t="s">
        <v>2266</v>
      </c>
      <c r="E1192" s="8" t="str">
        <f>IFERROR(__xludf.DUMMYFUNCTION("IF(
  LEN(TRIM(D1192))=0,
  ""왼쪽에 영어 문장을 입력하세요"",
  GOOGLETRANSLATE(D1192,""en"",""ko"")
)"),"동창회")</f>
        <v>동창회</v>
      </c>
      <c r="F1192" s="9" t="s">
        <v>2267</v>
      </c>
    </row>
    <row r="1193" ht="20.25" customHeight="1">
      <c r="A1193" s="5">
        <v>1269.0</v>
      </c>
      <c r="B1193" s="6">
        <v>251224.0</v>
      </c>
      <c r="C1193" s="4"/>
      <c r="D1193" s="7" t="s">
        <v>2268</v>
      </c>
      <c r="E1193" s="8" t="str">
        <f>IFERROR(__xludf.DUMMYFUNCTION("IF(
  LEN(TRIM(D1193))=0,
  ""왼쪽에 영어 문장을 입력하세요"",
  GOOGLETRANSLATE(D1193,""en"",""ko"")
)"),"심각한 위험")</f>
        <v>심각한 위험</v>
      </c>
      <c r="F1193" s="9" t="s">
        <v>2269</v>
      </c>
    </row>
    <row r="1194" ht="20.25" customHeight="1">
      <c r="A1194" s="5">
        <v>1270.0</v>
      </c>
      <c r="B1194" s="6">
        <v>251224.0</v>
      </c>
      <c r="C1194" s="4"/>
      <c r="D1194" s="7" t="s">
        <v>2270</v>
      </c>
      <c r="E1194" s="8" t="str">
        <f>IFERROR(__xludf.DUMMYFUNCTION("IF(
  LEN(TRIM(D1194))=0,
  ""왼쪽에 영어 문장을 입력하세요"",
  GOOGLETRANSLATE(D1194,""en"",""ko"")
)"),"유전 정보")</f>
        <v>유전 정보</v>
      </c>
      <c r="F1194" s="9" t="s">
        <v>2271</v>
      </c>
    </row>
    <row r="1195" ht="20.25" customHeight="1">
      <c r="A1195" s="5">
        <v>1271.0</v>
      </c>
      <c r="B1195" s="6">
        <v>251224.0</v>
      </c>
      <c r="C1195" s="4"/>
      <c r="D1195" s="7" t="s">
        <v>2272</v>
      </c>
      <c r="E1195" s="8" t="str">
        <f>IFERROR(__xludf.DUMMYFUNCTION("IF(
  LEN(TRIM(D1195))=0,
  ""왼쪽에 영어 문장을 입력하세요"",
  GOOGLETRANSLATE(D1195,""en"",""ko"")
)"),"인건비")</f>
        <v>인건비</v>
      </c>
      <c r="F1195" s="9" t="s">
        <v>2273</v>
      </c>
    </row>
    <row r="1196" ht="20.25" customHeight="1">
      <c r="A1196" s="5">
        <v>1272.0</v>
      </c>
      <c r="B1196" s="6">
        <v>251224.0</v>
      </c>
      <c r="C1196" s="4"/>
      <c r="D1196" s="7" t="s">
        <v>2274</v>
      </c>
      <c r="E1196" s="8" t="str">
        <f>IFERROR(__xludf.DUMMYFUNCTION("IF(
  LEN(TRIM(D1196))=0,
  ""왼쪽에 영어 문장을 입력하세요"",
  GOOGLETRANSLATE(D1196,""en"",""ko"")
)"),"긴급한 문제")</f>
        <v>긴급한 문제</v>
      </c>
      <c r="F1196" s="9" t="s">
        <v>2275</v>
      </c>
    </row>
    <row r="1197" ht="20.25" customHeight="1">
      <c r="A1197" s="5">
        <v>1273.0</v>
      </c>
      <c r="B1197" s="6">
        <v>251224.0</v>
      </c>
      <c r="C1197" s="4"/>
      <c r="D1197" s="7" t="s">
        <v>2276</v>
      </c>
      <c r="E1197" s="8" t="str">
        <f>IFERROR(__xludf.DUMMYFUNCTION("IF(
  LEN(TRIM(D1197))=0,
  ""왼쪽에 영어 문장을 입력하세요"",
  GOOGLETRANSLATE(D1197,""en"",""ko"")
)"),"먼 친척")</f>
        <v>먼 친척</v>
      </c>
      <c r="F1197" s="9" t="s">
        <v>2277</v>
      </c>
    </row>
    <row r="1198" ht="20.25" customHeight="1">
      <c r="A1198" s="5">
        <v>1274.0</v>
      </c>
      <c r="B1198" s="6">
        <v>251224.0</v>
      </c>
      <c r="C1198" s="4"/>
      <c r="D1198" s="7" t="s">
        <v>2278</v>
      </c>
      <c r="E1198" s="8" t="str">
        <f>IFERROR(__xludf.DUMMYFUNCTION("IF(
  LEN(TRIM(D1198))=0,
  ""왼쪽에 영어 문장을 입력하세요"",
  GOOGLETRANSLATE(D1198,""en"",""ko"")
)"),"기본적인 본능")</f>
        <v>기본적인 본능</v>
      </c>
      <c r="F1198" s="9" t="s">
        <v>2279</v>
      </c>
    </row>
    <row r="1199" ht="20.25" customHeight="1">
      <c r="A1199" s="5">
        <v>1275.0</v>
      </c>
      <c r="B1199" s="6">
        <v>251224.0</v>
      </c>
      <c r="C1199" s="4"/>
      <c r="D1199" s="7" t="s">
        <v>2280</v>
      </c>
      <c r="E1199" s="8" t="str">
        <f>IFERROR(__xludf.DUMMYFUNCTION("IF(
  LEN(TRIM(D1199))=0,
  ""왼쪽에 영어 문장을 입력하세요"",
  GOOGLETRANSLATE(D1199,""en"",""ko"")
)"),"생명 보험 증권")</f>
        <v>생명 보험 증권</v>
      </c>
      <c r="F1199" s="9" t="s">
        <v>2281</v>
      </c>
    </row>
    <row r="1200" ht="20.25" customHeight="1">
      <c r="A1200" s="5">
        <v>1276.0</v>
      </c>
      <c r="B1200" s="6">
        <v>251224.0</v>
      </c>
      <c r="C1200" s="4"/>
      <c r="D1200" s="7" t="s">
        <v>2282</v>
      </c>
      <c r="E1200" s="8" t="str">
        <f>IFERROR(__xludf.DUMMYFUNCTION("IF(
  LEN(TRIM(D1200))=0,
  ""왼쪽에 영어 문장을 입력하세요"",
  GOOGLETRANSLATE(D1200,""en"",""ko"")
)"),"대체 에너지")</f>
        <v>대체 에너지</v>
      </c>
      <c r="F1200" s="9" t="s">
        <v>2283</v>
      </c>
    </row>
    <row r="1201" ht="20.25" customHeight="1">
      <c r="A1201" s="5">
        <v>1277.0</v>
      </c>
      <c r="B1201" s="6">
        <v>251224.0</v>
      </c>
      <c r="C1201" s="4"/>
      <c r="D1201" s="7" t="s">
        <v>2284</v>
      </c>
      <c r="E1201" s="8" t="str">
        <f>IFERROR(__xludf.DUMMYFUNCTION("IF(
  LEN(TRIM(D1201))=0,
  ""왼쪽에 영어 문장을 입력하세요"",
  GOOGLETRANSLATE(D1201,""en"",""ko"")
)"),"채용 공고")</f>
        <v>채용 공고</v>
      </c>
      <c r="F1201" s="9" t="s">
        <v>2285</v>
      </c>
    </row>
    <row r="1202" ht="20.25" customHeight="1">
      <c r="A1202" s="5">
        <v>1278.0</v>
      </c>
      <c r="B1202" s="6">
        <v>251224.0</v>
      </c>
      <c r="C1202" s="4"/>
      <c r="D1202" s="7" t="s">
        <v>2286</v>
      </c>
      <c r="E1202" s="8" t="str">
        <f>IFERROR(__xludf.DUMMYFUNCTION("IF(
  LEN(TRIM(D1202))=0,
  ""왼쪽에 영어 문장을 입력하세요"",
  GOOGLETRANSLATE(D1202,""en"",""ko"")
)"),"사형")</f>
        <v>사형</v>
      </c>
      <c r="F1202" s="9" t="s">
        <v>2287</v>
      </c>
    </row>
    <row r="1203" ht="20.25" customHeight="1">
      <c r="A1203" s="5">
        <v>1279.0</v>
      </c>
      <c r="B1203" s="6">
        <v>251224.0</v>
      </c>
      <c r="C1203" s="4"/>
      <c r="D1203" s="7" t="s">
        <v>2288</v>
      </c>
      <c r="E1203" s="8" t="str">
        <f>IFERROR(__xludf.DUMMYFUNCTION("IF(
  LEN(TRIM(D1203))=0,
  ""왼쪽에 영어 문장을 입력하세요"",
  GOOGLETRANSLATE(D1203,""en"",""ko"")
)"),"언어 장애[결함, 장애]")</f>
        <v>언어 장애[결함, 장애]</v>
      </c>
      <c r="F1203" s="9" t="s">
        <v>2289</v>
      </c>
    </row>
    <row r="1204" ht="20.25" customHeight="1">
      <c r="A1204" s="5">
        <v>1280.0</v>
      </c>
      <c r="B1204" s="6">
        <v>251224.0</v>
      </c>
      <c r="C1204" s="4"/>
      <c r="D1204" s="7" t="s">
        <v>2290</v>
      </c>
      <c r="E1204" s="8" t="str">
        <f>IFERROR(__xludf.DUMMYFUNCTION("IF(
  LEN(TRIM(D1204))=0,
  ""왼쪽에 영어 문장을 입력하세요"",
  GOOGLETRANSLATE(D1204,""en"",""ko"")
)"),"압도적 다수/명백한 다수")</f>
        <v>압도적 다수/명백한 다수</v>
      </c>
      <c r="F1204" s="9" t="s">
        <v>2291</v>
      </c>
    </row>
    <row r="1205" ht="20.25" customHeight="1">
      <c r="A1205" s="5">
        <v>1281.0</v>
      </c>
      <c r="B1205" s="6">
        <v>251224.0</v>
      </c>
      <c r="C1205" s="4"/>
      <c r="D1205" s="7" t="s">
        <v>2292</v>
      </c>
      <c r="E1205" s="8" t="str">
        <f>IFERROR(__xludf.DUMMYFUNCTION("IF(
  LEN(TRIM(D1205))=0,
  ""왼쪽에 영어 문장을 입력하세요"",
  GOOGLETRANSLATE(D1205,""en"",""ko"")
)"),"경미한 범죄")</f>
        <v>경미한 범죄</v>
      </c>
      <c r="F1205" s="9" t="s">
        <v>2293</v>
      </c>
    </row>
    <row r="1206" ht="20.25" customHeight="1">
      <c r="A1206" s="5">
        <v>1282.0</v>
      </c>
      <c r="B1206" s="6">
        <v>251224.0</v>
      </c>
      <c r="C1206" s="4"/>
      <c r="D1206" s="7" t="s">
        <v>2294</v>
      </c>
      <c r="E1206" s="8" t="str">
        <f>IFERROR(__xludf.DUMMYFUNCTION("IF(
  LEN(TRIM(D1206))=0,
  ""왼쪽에 영어 문장을 입력하세요"",
  GOOGLETRANSLATE(D1206,""en"",""ko"")
)"),"생활비")</f>
        <v>생활비</v>
      </c>
      <c r="F1206" s="9" t="s">
        <v>2295</v>
      </c>
    </row>
    <row r="1207" ht="20.25" customHeight="1">
      <c r="A1207" s="5">
        <v>1283.0</v>
      </c>
      <c r="B1207" s="6">
        <v>251224.0</v>
      </c>
      <c r="C1207" s="4"/>
      <c r="D1207" s="7" t="s">
        <v>2296</v>
      </c>
      <c r="E1207" s="8" t="str">
        <f>IFERROR(__xludf.DUMMYFUNCTION("IF(
  LEN(TRIM(D1207))=0,
  ""왼쪽에 영어 문장을 입력하세요"",
  GOOGLETRANSLATE(D1207,""en"",""ko"")
)"),"상상 속의[거짓, 허구의] 임신")</f>
        <v>상상 속의[거짓, 허구의] 임신</v>
      </c>
      <c r="F1207" s="9" t="s">
        <v>2297</v>
      </c>
    </row>
    <row r="1208" ht="20.25" customHeight="1">
      <c r="A1208" s="5">
        <v>1284.0</v>
      </c>
      <c r="B1208" s="6">
        <v>251224.0</v>
      </c>
      <c r="C1208" s="4"/>
      <c r="D1208" s="7" t="s">
        <v>2298</v>
      </c>
      <c r="E1208" s="8" t="str">
        <f>IFERROR(__xludf.DUMMYFUNCTION("IF(
  LEN(TRIM(D1208))=0,
  ""왼쪽에 영어 문장을 입력하세요"",
  GOOGLETRANSLATE(D1208,""en"",""ko"")
)"),"영구적인[영구적인] 눈")</f>
        <v>영구적인[영구적인] 눈</v>
      </c>
      <c r="F1208" s="9" t="s">
        <v>2299</v>
      </c>
    </row>
    <row r="1209" ht="20.25" customHeight="1">
      <c r="A1209" s="5">
        <v>1285.0</v>
      </c>
      <c r="B1209" s="6">
        <v>251224.0</v>
      </c>
      <c r="C1209" s="4"/>
      <c r="D1209" s="7" t="s">
        <v>2300</v>
      </c>
      <c r="E1209" s="8" t="str">
        <f>IFERROR(__xludf.DUMMYFUNCTION("IF(
  LEN(TRIM(D1209))=0,
  ""왼쪽에 영어 문장을 입력하세요"",
  GOOGLETRANSLATE(D1209,""en"",""ko"")
)"),"버스를 놓치다")</f>
        <v>버스를 놓치다</v>
      </c>
      <c r="F1209" s="9" t="s">
        <v>2301</v>
      </c>
    </row>
    <row r="1210" ht="20.25" customHeight="1">
      <c r="A1210" s="5">
        <v>1286.0</v>
      </c>
      <c r="B1210" s="6">
        <v>251224.0</v>
      </c>
      <c r="C1210" s="4"/>
      <c r="D1210" s="7" t="s">
        <v>2302</v>
      </c>
      <c r="E1210" s="8" t="str">
        <f>IFERROR(__xludf.DUMMYFUNCTION("IF(
  LEN(TRIM(D1210))=0,
  ""왼쪽에 영어 문장을 입력하세요"",
  GOOGLETRANSLATE(D1210,""en"",""ko"")
)"),"사랑니")</f>
        <v>사랑니</v>
      </c>
      <c r="F1210" s="9" t="s">
        <v>2303</v>
      </c>
    </row>
    <row r="1211" ht="20.25" customHeight="1">
      <c r="A1211" s="5">
        <v>1287.0</v>
      </c>
      <c r="B1211" s="6">
        <v>251224.0</v>
      </c>
      <c r="C1211" s="4"/>
      <c r="D1211" s="7" t="s">
        <v>2304</v>
      </c>
      <c r="E1211" s="8" t="str">
        <f>IFERROR(__xludf.DUMMYFUNCTION("IF(
  LEN(TRIM(D1211))=0,
  ""왼쪽에 영어 문장을 입력하세요"",
  GOOGLETRANSLATE(D1211,""en"",""ko"")
)"),"우월감, 우월 콤플렉스")</f>
        <v>우월감, 우월 콤플렉스</v>
      </c>
      <c r="F1211" s="9" t="s">
        <v>2305</v>
      </c>
    </row>
    <row r="1212" ht="20.25" customHeight="1">
      <c r="A1212" s="5">
        <v>1288.0</v>
      </c>
      <c r="B1212" s="6">
        <v>251224.0</v>
      </c>
      <c r="C1212" s="4"/>
      <c r="D1212" s="7" t="s">
        <v>2306</v>
      </c>
      <c r="E1212" s="8" t="str">
        <f>IFERROR(__xludf.DUMMYFUNCTION("IF(
  LEN(TRIM(D1212))=0,
  ""왼쪽에 영어 문장을 입력하세요"",
  GOOGLETRANSLATE(D1212,""en"",""ko"")
)"),"마약 중독자")</f>
        <v>마약 중독자</v>
      </c>
      <c r="F1212" s="9" t="s">
        <v>2307</v>
      </c>
    </row>
    <row r="1213" ht="20.25" customHeight="1">
      <c r="A1213" s="5">
        <v>1289.0</v>
      </c>
      <c r="B1213" s="6">
        <v>251224.0</v>
      </c>
      <c r="C1213" s="4"/>
      <c r="D1213" s="7" t="s">
        <v>2308</v>
      </c>
      <c r="E1213" s="8" t="str">
        <f>IFERROR(__xludf.DUMMYFUNCTION("IF(
  LEN(TRIM(D1213))=0,
  ""왼쪽에 영어 문장을 입력하세요"",
  GOOGLETRANSLATE(D1213,""en"",""ko"")
)"),"묽은 시럽")</f>
        <v>묽은 시럽</v>
      </c>
      <c r="F1213" s="9" t="s">
        <v>2309</v>
      </c>
    </row>
    <row r="1214" ht="20.25" customHeight="1">
      <c r="A1214" s="5">
        <v>1290.0</v>
      </c>
      <c r="B1214" s="6">
        <v>251224.0</v>
      </c>
      <c r="C1214" s="4"/>
      <c r="D1214" s="7" t="s">
        <v>2310</v>
      </c>
      <c r="E1214" s="8" t="str">
        <f>IFERROR(__xludf.DUMMYFUNCTION("IF(
  LEN(TRIM(D1214))=0,
  ""왼쪽에 영어 문장을 입력하세요"",
  GOOGLETRANSLATE(D1214,""en"",""ko"")
)"),"구취")</f>
        <v>구취</v>
      </c>
      <c r="F1214" s="9" t="s">
        <v>2311</v>
      </c>
    </row>
    <row r="1215" ht="20.25" customHeight="1">
      <c r="A1215" s="5">
        <v>1291.0</v>
      </c>
      <c r="B1215" s="6">
        <v>251224.0</v>
      </c>
      <c r="C1215" s="4"/>
      <c r="D1215" s="7" t="s">
        <v>2312</v>
      </c>
      <c r="E1215" s="8" t="str">
        <f>IFERROR(__xludf.DUMMYFUNCTION("IF(
  LEN(TRIM(D1215))=0,
  ""왼쪽에 영어 문장을 입력하세요"",
  GOOGLETRANSLATE(D1215,""en"",""ko"")
)"),"구전 전통")</f>
        <v>구전 전통</v>
      </c>
      <c r="F1215" s="9" t="s">
        <v>2313</v>
      </c>
    </row>
    <row r="1216" ht="20.25" customHeight="1">
      <c r="A1216" s="5">
        <v>1292.0</v>
      </c>
      <c r="B1216" s="6">
        <v>251224.0</v>
      </c>
      <c r="C1216" s="4"/>
      <c r="D1216" s="7" t="s">
        <v>2314</v>
      </c>
      <c r="E1216" s="8" t="str">
        <f>IFERROR(__xludf.DUMMYFUNCTION("IF(
  LEN(TRIM(D1216))=0,
  ""왼쪽에 영어 문장을 입력하세요"",
  GOOGLETRANSLATE(D1216,""en"",""ko"")
)"),"음표(악보 표기법)")</f>
        <v>음표(악보 표기법)</v>
      </c>
      <c r="F1216" s="9" t="s">
        <v>2315</v>
      </c>
    </row>
    <row r="1217" ht="20.25" customHeight="1">
      <c r="A1217" s="5">
        <v>1293.0</v>
      </c>
      <c r="B1217" s="6">
        <v>251224.0</v>
      </c>
      <c r="C1217" s="4"/>
      <c r="D1217" s="7" t="s">
        <v>2316</v>
      </c>
      <c r="E1217" s="8" t="str">
        <f>IFERROR(__xludf.DUMMYFUNCTION("IF(
  LEN(TRIM(D1217))=0,
  ""왼쪽에 영어 문장을 입력하세요"",
  GOOGLETRANSLATE(D1217,""en"",""ko"")
)"),"자연 선택")</f>
        <v>자연 선택</v>
      </c>
      <c r="F1217" s="9" t="s">
        <v>2317</v>
      </c>
    </row>
    <row r="1218" ht="20.25" customHeight="1">
      <c r="A1218" s="5">
        <v>1294.0</v>
      </c>
      <c r="B1218" s="6">
        <v>251224.0</v>
      </c>
      <c r="C1218" s="4"/>
      <c r="D1218" s="7" t="s">
        <v>2318</v>
      </c>
      <c r="E1218" s="8" t="str">
        <f>IFERROR(__xludf.DUMMYFUNCTION("IF(
  LEN(TRIM(D1218))=0,
  ""왼쪽에 영어 문장을 입력하세요"",
  GOOGLETRANSLATE(D1218,""en"",""ko"")
)"),"악의 없는 거짓말")</f>
        <v>악의 없는 거짓말</v>
      </c>
      <c r="F1218" s="9" t="s">
        <v>2319</v>
      </c>
    </row>
    <row r="1219" ht="20.25" customHeight="1">
      <c r="A1219" s="5">
        <v>1295.0</v>
      </c>
      <c r="B1219" s="6">
        <v>251224.0</v>
      </c>
      <c r="C1219" s="4"/>
      <c r="D1219" s="7" t="s">
        <v>2320</v>
      </c>
      <c r="E1219" s="8" t="str">
        <f>IFERROR(__xludf.DUMMYFUNCTION("IF(
  LEN(TRIM(D1219))=0,
  ""왼쪽에 영어 문장을 입력하세요"",
  GOOGLETRANSLATE(D1219,""en"",""ko"")
)"),"큐브[덩어리, 블록, 잘게 자른] 설탕")</f>
        <v>큐브[덩어리, 블록, 잘게 자른] 설탕</v>
      </c>
      <c r="F1219" s="9" t="s">
        <v>2321</v>
      </c>
    </row>
    <row r="1220" ht="20.25" customHeight="1">
      <c r="A1220" s="5">
        <v>1296.0</v>
      </c>
      <c r="B1220" s="6">
        <v>251224.0</v>
      </c>
      <c r="C1220" s="4"/>
      <c r="D1220" s="7" t="s">
        <v>2322</v>
      </c>
      <c r="E1220" s="8" t="str">
        <f>IFERROR(__xludf.DUMMYFUNCTION("IF(
  LEN(TRIM(D1220))=0,
  ""왼쪽에 영어 문장을 입력하세요"",
  GOOGLETRANSLATE(D1220,""en"",""ko"")
)"),"야식")</f>
        <v>야식</v>
      </c>
      <c r="F1220" s="9" t="s">
        <v>2323</v>
      </c>
    </row>
    <row r="1221" ht="20.25" customHeight="1">
      <c r="A1221" s="5">
        <v>1297.0</v>
      </c>
      <c r="B1221" s="6">
        <v>251224.0</v>
      </c>
      <c r="C1221" s="4"/>
      <c r="D1221" s="7" t="s">
        <v>2324</v>
      </c>
      <c r="E1221" s="8" t="str">
        <f>IFERROR(__xludf.DUMMYFUNCTION("IF(
  LEN(TRIM(D1221))=0,
  ""왼쪽에 영어 문장을 입력하세요"",
  GOOGLETRANSLATE(D1221,""en"",""ko"")
)"),"코피")</f>
        <v>코피</v>
      </c>
      <c r="F1221" s="9" t="s">
        <v>1468</v>
      </c>
    </row>
    <row r="1222" ht="20.25" customHeight="1">
      <c r="A1222" s="5">
        <v>1298.0</v>
      </c>
      <c r="B1222" s="6">
        <v>251224.0</v>
      </c>
      <c r="C1222" s="4"/>
      <c r="D1222" s="7" t="s">
        <v>2325</v>
      </c>
      <c r="E1222" s="8" t="str">
        <f>IFERROR(__xludf.DUMMYFUNCTION("IF(
  LEN(TRIM(D1222))=0,
  ""왼쪽에 영어 문장을 입력하세요"",
  GOOGLETRANSLATE(D1222,""en"",""ko"")
)"),"정장, 격식 있는 드레스, 포멀 드레스")</f>
        <v>정장, 격식 있는 드레스, 포멀 드레스</v>
      </c>
      <c r="F1222" s="9" t="s">
        <v>2326</v>
      </c>
    </row>
    <row r="1223" ht="20.25" customHeight="1">
      <c r="A1223" s="5">
        <v>1299.0</v>
      </c>
      <c r="B1223" s="6">
        <v>251224.0</v>
      </c>
      <c r="C1223" s="4"/>
      <c r="D1223" s="7" t="s">
        <v>2327</v>
      </c>
      <c r="E1223" s="8" t="str">
        <f>IFERROR(__xludf.DUMMYFUNCTION("IF(
  LEN(TRIM(D1223))=0,
  ""왼쪽에 영어 문장을 입력하세요"",
  GOOGLETRANSLATE(D1223,""en"",""ko"")
)"),"토착민")</f>
        <v>토착민</v>
      </c>
      <c r="F1223" s="9" t="s">
        <v>2328</v>
      </c>
    </row>
    <row r="1224" ht="20.25" customHeight="1">
      <c r="A1224" s="5">
        <v>1300.0</v>
      </c>
      <c r="B1224" s="6">
        <v>251224.0</v>
      </c>
      <c r="C1224" s="4"/>
      <c r="D1224" s="7" t="s">
        <v>2329</v>
      </c>
      <c r="E1224" s="8" t="str">
        <f>IFERROR(__xludf.DUMMYFUNCTION("IF(
  LEN(TRIM(D1224))=0,
  ""왼쪽에 영어 문장을 입력하세요"",
  GOOGLETRANSLATE(D1224,""en"",""ko"")
)"),"과도한[심각한; 심한] 출혈")</f>
        <v>과도한[심각한; 심한] 출혈</v>
      </c>
      <c r="F1224" s="9" t="s">
        <v>2330</v>
      </c>
    </row>
    <row r="1225" ht="20.25" customHeight="1">
      <c r="A1225" s="5">
        <v>1301.0</v>
      </c>
      <c r="B1225" s="6">
        <v>251224.0</v>
      </c>
      <c r="C1225" s="4"/>
      <c r="D1225" s="7" t="s">
        <v>2331</v>
      </c>
      <c r="E1225" s="8" t="str">
        <f>IFERROR(__xludf.DUMMYFUNCTION("IF(
  LEN(TRIM(D1225))=0,
  ""왼쪽에 영어 문장을 입력하세요"",
  GOOGLETRANSLATE(D1225,""en"",""ko"")
)"),"서면 동의")</f>
        <v>서면 동의</v>
      </c>
      <c r="F1225" s="9" t="s">
        <v>2332</v>
      </c>
    </row>
    <row r="1226" ht="20.25" customHeight="1">
      <c r="A1226" s="5">
        <v>1302.0</v>
      </c>
      <c r="B1226" s="6">
        <v>251224.0</v>
      </c>
      <c r="C1226" s="4"/>
      <c r="D1226" s="7" t="s">
        <v>2333</v>
      </c>
      <c r="E1226" s="8" t="str">
        <f>IFERROR(__xludf.DUMMYFUNCTION("IF(
  LEN(TRIM(D1226))=0,
  ""왼쪽에 영어 문장을 입력하세요"",
  GOOGLETRANSLATE(D1226,""en"",""ko"")
)"),"표현의 부재[결핍]/공백 표현")</f>
        <v>표현의 부재[결핍]/공백 표현</v>
      </c>
      <c r="F1226" s="9" t="s">
        <v>2334</v>
      </c>
    </row>
    <row r="1227" ht="20.25" customHeight="1">
      <c r="A1227" s="5">
        <v>1303.0</v>
      </c>
      <c r="B1227" s="6">
        <v>251224.0</v>
      </c>
      <c r="C1227" s="4"/>
      <c r="D1227" s="7" t="s">
        <v>2335</v>
      </c>
      <c r="E1227" s="8" t="str">
        <f>IFERROR(__xludf.DUMMYFUNCTION("IF(
  LEN(TRIM(D1227))=0,
  ""왼쪽에 영어 문장을 입력하세요"",
  GOOGLETRANSLATE(D1227,""en"",""ko"")
)"),"정전, 전력 공급 중단, (미국) (전력) 정전, (영국) 전력 차단")</f>
        <v>정전, 전력 공급 중단, (미국) (전력) 정전, (영국) 전력 차단</v>
      </c>
      <c r="F1227" s="9" t="s">
        <v>2336</v>
      </c>
    </row>
    <row r="1228" ht="20.25" customHeight="1">
      <c r="A1228" s="5">
        <v>1304.0</v>
      </c>
      <c r="B1228" s="6">
        <v>251224.0</v>
      </c>
      <c r="C1228" s="4"/>
      <c r="D1228" s="7" t="s">
        <v>2337</v>
      </c>
      <c r="E1228" s="8" t="str">
        <f>IFERROR(__xludf.DUMMYFUNCTION("IF(
  LEN(TRIM(D1228))=0,
  ""왼쪽에 영어 문장을 입력하세요"",
  GOOGLETRANSLATE(D1228,""en"",""ko"")
)"),"자책골")</f>
        <v>자책골</v>
      </c>
      <c r="F1228" s="9" t="s">
        <v>2338</v>
      </c>
    </row>
    <row r="1229" ht="20.25" customHeight="1">
      <c r="A1229" s="5">
        <v>1305.0</v>
      </c>
      <c r="B1229" s="6">
        <v>251224.0</v>
      </c>
      <c r="C1229" s="4"/>
      <c r="D1229" s="7" t="s">
        <v>2339</v>
      </c>
      <c r="E1229" s="8" t="str">
        <f>IFERROR(__xludf.DUMMYFUNCTION("IF(
  LEN(TRIM(D1229))=0,
  ""왼쪽에 영어 문장을 입력하세요"",
  GOOGLETRANSLATE(D1229,""en"",""ko"")
)"),"개인 공격")</f>
        <v>개인 공격</v>
      </c>
      <c r="F1229" s="9" t="s">
        <v>2340</v>
      </c>
    </row>
    <row r="1230" ht="20.25" customHeight="1">
      <c r="A1230" s="5">
        <v>1306.0</v>
      </c>
      <c r="B1230" s="6">
        <v>251224.0</v>
      </c>
      <c r="C1230" s="4"/>
      <c r="D1230" s="7" t="s">
        <v>2341</v>
      </c>
      <c r="E1230" s="8" t="str">
        <f>IFERROR(__xludf.DUMMYFUNCTION("IF(
  LEN(TRIM(D1230))=0,
  ""왼쪽에 영어 문장을 입력하세요"",
  GOOGLETRANSLATE(D1230,""en"",""ko"")
)"),"공과금 청구서")</f>
        <v>공과금 청구서</v>
      </c>
      <c r="F1230" s="9" t="s">
        <v>2342</v>
      </c>
    </row>
    <row r="1231" ht="20.25" customHeight="1">
      <c r="A1231" s="5">
        <v>1307.0</v>
      </c>
      <c r="B1231" s="6">
        <v>251224.0</v>
      </c>
      <c r="C1231" s="4"/>
      <c r="D1231" s="7" t="s">
        <v>2343</v>
      </c>
      <c r="E1231" s="8" t="str">
        <f>IFERROR(__xludf.DUMMYFUNCTION("IF(
  LEN(TRIM(D1231))=0,
  ""왼쪽에 영어 문장을 입력하세요"",
  GOOGLETRANSLATE(D1231,""en"",""ko"")
)"),"(신용)카드를 발급하다")</f>
        <v>(신용)카드를 발급하다</v>
      </c>
      <c r="F1231" s="9" t="s">
        <v>2344</v>
      </c>
    </row>
    <row r="1232" ht="20.25" customHeight="1">
      <c r="A1232" s="5">
        <v>1308.0</v>
      </c>
      <c r="B1232" s="6">
        <v>251224.0</v>
      </c>
      <c r="C1232" s="4"/>
      <c r="D1232" s="7" t="s">
        <v>2345</v>
      </c>
      <c r="E1232" s="8" t="str">
        <f>IFERROR(__xludf.DUMMYFUNCTION("IF(
  LEN(TRIM(D1232))=0,
  ""왼쪽에 영어 문장을 입력하세요"",
  GOOGLETRANSLATE(D1232,""en"",""ko"")
)"),"원인과 결과")</f>
        <v>원인과 결과</v>
      </c>
      <c r="F1232" s="9" t="s">
        <v>2346</v>
      </c>
    </row>
    <row r="1233" ht="20.25" customHeight="1">
      <c r="A1233" s="5">
        <v>1309.0</v>
      </c>
      <c r="B1233" s="6">
        <v>251224.0</v>
      </c>
      <c r="C1233" s="4"/>
      <c r="D1233" s="7" t="s">
        <v>2347</v>
      </c>
      <c r="E1233" s="8" t="str">
        <f>IFERROR(__xludf.DUMMYFUNCTION("IF(
  LEN(TRIM(D1233))=0,
  ""왼쪽에 영어 문장을 입력하세요"",
  GOOGLETRANSLATE(D1233,""en"",""ko"")
)"),"갈대밭")</f>
        <v>갈대밭</v>
      </c>
      <c r="F1233" s="9" t="s">
        <v>2348</v>
      </c>
    </row>
    <row r="1234" ht="20.25" customHeight="1">
      <c r="A1234" s="5">
        <v>1310.0</v>
      </c>
      <c r="B1234" s="6">
        <v>251224.0</v>
      </c>
      <c r="C1234" s="4"/>
      <c r="D1234" s="7" t="s">
        <v>2349</v>
      </c>
      <c r="E1234" s="8" t="str">
        <f>IFERROR(__xludf.DUMMYFUNCTION("IF(
  LEN(TRIM(D1234))=0,
  ""왼쪽에 영어 문장을 입력하세요"",
  GOOGLETRANSLATE(D1234,""en"",""ko"")
)"),"해병대")</f>
        <v>해병대</v>
      </c>
      <c r="F1234" s="9" t="s">
        <v>2350</v>
      </c>
    </row>
    <row r="1235" ht="20.25" customHeight="1">
      <c r="A1235" s="5">
        <v>1311.0</v>
      </c>
      <c r="B1235" s="6">
        <v>251224.0</v>
      </c>
      <c r="C1235" s="4"/>
      <c r="D1235" s="7" t="s">
        <v>2351</v>
      </c>
      <c r="E1235" s="8" t="str">
        <f>IFERROR(__xludf.DUMMYFUNCTION("IF(
  LEN(TRIM(D1235))=0,
  ""왼쪽에 영어 문장을 입력하세요"",
  GOOGLETRANSLATE(D1235,""en"",""ko"")
)"),"병가")</f>
        <v>병가</v>
      </c>
      <c r="F1235" s="9" t="s">
        <v>2352</v>
      </c>
    </row>
    <row r="1236" ht="20.25" customHeight="1">
      <c r="A1236" s="5">
        <v>1312.0</v>
      </c>
      <c r="B1236" s="6">
        <v>251224.0</v>
      </c>
      <c r="C1236" s="4"/>
      <c r="D1236" s="7" t="s">
        <v>2353</v>
      </c>
      <c r="E1236" s="8" t="str">
        <f>IFERROR(__xludf.DUMMYFUNCTION("IF(
  LEN(TRIM(D1236))=0,
  ""왼쪽에 영어 문장을 입력하세요"",
  GOOGLETRANSLATE(D1236,""en"",""ko"")
)"),"비닐봉투")</f>
        <v>비닐봉투</v>
      </c>
      <c r="F1236" s="9" t="s">
        <v>2354</v>
      </c>
    </row>
    <row r="1237" ht="20.25" customHeight="1">
      <c r="A1237" s="5">
        <v>1313.0</v>
      </c>
      <c r="B1237" s="6">
        <v>251224.0</v>
      </c>
      <c r="C1237" s="4"/>
      <c r="D1237" s="7" t="s">
        <v>2355</v>
      </c>
      <c r="E1237" s="8" t="str">
        <f>IFERROR(__xludf.DUMMYFUNCTION("IF(
  LEN(TRIM(D1237))=0,
  ""왼쪽에 영어 문장을 입력하세요"",
  GOOGLETRANSLATE(D1237,""en"",""ko"")
)"),"즉시 지불")</f>
        <v>즉시 지불</v>
      </c>
      <c r="F1237" s="9" t="s">
        <v>2356</v>
      </c>
    </row>
    <row r="1238" ht="20.25" customHeight="1">
      <c r="A1238" s="5">
        <v>1314.0</v>
      </c>
      <c r="B1238" s="6">
        <v>251224.0</v>
      </c>
      <c r="C1238" s="4"/>
      <c r="D1238" s="7" t="s">
        <v>2357</v>
      </c>
      <c r="E1238" s="8" t="str">
        <f>IFERROR(__xludf.DUMMYFUNCTION("IF(
  LEN(TRIM(D1238))=0,
  ""왼쪽에 영어 문장을 입력하세요"",
  GOOGLETRANSLATE(D1238,""en"",""ko"")
)"),"직각")</f>
        <v>직각</v>
      </c>
      <c r="F1238" s="9" t="s">
        <v>2358</v>
      </c>
    </row>
    <row r="1239" ht="20.25" customHeight="1">
      <c r="A1239" s="5">
        <v>1315.0</v>
      </c>
      <c r="B1239" s="6">
        <v>251224.0</v>
      </c>
      <c r="C1239" s="4"/>
      <c r="D1239" s="7" t="s">
        <v>2359</v>
      </c>
      <c r="E1239" s="8" t="str">
        <f>IFERROR(__xludf.DUMMYFUNCTION("IF(
  LEN(TRIM(D1239))=0,
  ""왼쪽에 영어 문장을 입력하세요"",
  GOOGLETRANSLATE(D1239,""en"",""ko"")
)"),"치열한 경쟁 / 생존을 위한 투쟁")</f>
        <v>치열한 경쟁 / 생존을 위한 투쟁</v>
      </c>
      <c r="F1239" s="9" t="s">
        <v>2360</v>
      </c>
    </row>
    <row r="1240" ht="20.25" customHeight="1">
      <c r="A1240" s="5">
        <v>1316.0</v>
      </c>
      <c r="B1240" s="6">
        <v>251224.0</v>
      </c>
      <c r="C1240" s="4"/>
      <c r="D1240" s="7" t="s">
        <v>2361</v>
      </c>
      <c r="E1240" s="8" t="str">
        <f>IFERROR(__xludf.DUMMYFUNCTION("IF(
  LEN(TRIM(D1240))=0,
  ""왼쪽에 영어 문장을 입력하세요"",
  GOOGLETRANSLATE(D1240,""en"",""ko"")
)"),"난폭 운전")</f>
        <v>난폭 운전</v>
      </c>
      <c r="F1240" s="9" t="s">
        <v>2362</v>
      </c>
    </row>
    <row r="1241" ht="20.25" customHeight="1">
      <c r="A1241" s="5">
        <v>1317.0</v>
      </c>
      <c r="B1241" s="6">
        <v>251224.0</v>
      </c>
      <c r="C1241" s="4"/>
      <c r="D1241" s="7" t="s">
        <v>2363</v>
      </c>
      <c r="E1241" s="8" t="str">
        <f>IFERROR(__xludf.DUMMYFUNCTION("IF(
  LEN(TRIM(D1241))=0,
  ""왼쪽에 영어 문장을 입력하세요"",
  GOOGLETRANSLATE(D1241,""en"",""ko"")
)"),"확실한")</f>
        <v>확실한</v>
      </c>
      <c r="F1241" s="9" t="s">
        <v>2364</v>
      </c>
    </row>
    <row r="1242" ht="20.25" customHeight="1">
      <c r="A1242" s="5">
        <v>1318.0</v>
      </c>
      <c r="B1242" s="6">
        <v>251224.0</v>
      </c>
      <c r="C1242" s="4"/>
      <c r="D1242" s="7" t="s">
        <v>2365</v>
      </c>
      <c r="E1242" s="8" t="str">
        <f>IFERROR(__xludf.DUMMYFUNCTION("IF(
  LEN(TRIM(D1242))=0,
  ""왼쪽에 영어 문장을 입력하세요"",
  GOOGLETRANSLATE(D1242,""en"",""ko"")
)"),"꼬챙이")</f>
        <v>꼬챙이</v>
      </c>
      <c r="F1242" s="9" t="s">
        <v>2366</v>
      </c>
    </row>
    <row r="1243" ht="20.25" customHeight="1">
      <c r="A1243" s="5">
        <v>1319.0</v>
      </c>
      <c r="B1243" s="6">
        <v>251224.0</v>
      </c>
      <c r="C1243" s="4"/>
      <c r="D1243" s="7" t="s">
        <v>2367</v>
      </c>
      <c r="E1243" s="8" t="str">
        <f>IFERROR(__xludf.DUMMYFUNCTION("IF(
  LEN(TRIM(D1243))=0,
  ""왼쪽에 영어 문장을 입력하세요"",
  GOOGLETRANSLATE(D1243,""en"",""ko"")
)"),"연인 거래")</f>
        <v>연인 거래</v>
      </c>
      <c r="F1243" s="9" t="s">
        <v>2368</v>
      </c>
    </row>
    <row r="1244" ht="20.25" customHeight="1">
      <c r="A1244" s="5">
        <v>1320.0</v>
      </c>
      <c r="B1244" s="6">
        <v>251224.0</v>
      </c>
      <c r="C1244" s="4"/>
      <c r="D1244" s="7" t="s">
        <v>2369</v>
      </c>
      <c r="E1244" s="8" t="str">
        <f>IFERROR(__xludf.DUMMYFUNCTION("IF(
  LEN(TRIM(D1244))=0,
  ""왼쪽에 영어 문장을 입력하세요"",
  GOOGLETRANSLATE(D1244,""en"",""ko"")
)"),"선제공격")</f>
        <v>선제공격</v>
      </c>
      <c r="F1244" s="9" t="s">
        <v>2370</v>
      </c>
    </row>
    <row r="1245" ht="20.25" customHeight="1">
      <c r="A1245" s="5">
        <v>1321.0</v>
      </c>
      <c r="B1245" s="6">
        <v>251224.0</v>
      </c>
      <c r="C1245" s="4"/>
      <c r="D1245" s="7" t="s">
        <v>2371</v>
      </c>
      <c r="E1245" s="8" t="str">
        <f>IFERROR(__xludf.DUMMYFUNCTION("IF(
  LEN(TRIM(D1245))=0,
  ""왼쪽에 영어 문장을 입력하세요"",
  GOOGLETRANSLATE(D1245,""en"",""ko"")
)"),"비구름전선")</f>
        <v>비구름전선</v>
      </c>
      <c r="F1245" s="9" t="s">
        <v>2372</v>
      </c>
    </row>
    <row r="1246" ht="20.25" customHeight="1">
      <c r="A1246" s="5">
        <v>1322.0</v>
      </c>
      <c r="B1246" s="6">
        <v>251224.0</v>
      </c>
      <c r="C1246" s="4"/>
      <c r="D1246" s="7" t="s">
        <v>2373</v>
      </c>
      <c r="E1246" s="8" t="str">
        <f>IFERROR(__xludf.DUMMYFUNCTION("IF(
  LEN(TRIM(D1246))=0,
  ""왼쪽에 영어 문장을 입력하세요"",
  GOOGLETRANSLATE(D1246,""en"",""ko"")
)"),"폭우, 폭우")</f>
        <v>폭우, 폭우</v>
      </c>
      <c r="F1246" s="9" t="s">
        <v>2374</v>
      </c>
    </row>
    <row r="1247" ht="20.25" customHeight="1">
      <c r="A1247" s="5">
        <v>1323.0</v>
      </c>
      <c r="B1247" s="6">
        <v>251224.0</v>
      </c>
      <c r="C1247" s="4"/>
      <c r="D1247" s="17" t="s">
        <v>2375</v>
      </c>
      <c r="E1247" s="8" t="str">
        <f>IFERROR(__xludf.DUMMYFUNCTION("IF(
  LEN(TRIM(D1247))=0,
  ""왼쪽에 영어 문장을 입력하세요"",
  GOOGLETRANSLATE(D1247,""en"",""ko"")
)"),"돼지")</f>
        <v>돼지</v>
      </c>
      <c r="F1247" s="9" t="s">
        <v>2376</v>
      </c>
    </row>
    <row r="1248" ht="20.25" customHeight="1">
      <c r="A1248" s="5">
        <v>1324.0</v>
      </c>
      <c r="B1248" s="6">
        <v>251224.0</v>
      </c>
      <c r="C1248" s="4"/>
      <c r="D1248" s="17" t="s">
        <v>2377</v>
      </c>
      <c r="E1248" s="8" t="str">
        <f>IFERROR(__xludf.DUMMYFUNCTION("IF(
  LEN(TRIM(D1248))=0,
  ""왼쪽에 영어 문장을 입력하세요"",
  GOOGLETRANSLATE(D1248,""en"",""ko"")
)"),"발굽")</f>
        <v>발굽</v>
      </c>
      <c r="F1248" s="9" t="s">
        <v>2378</v>
      </c>
    </row>
    <row r="1249" ht="20.25" customHeight="1">
      <c r="A1249" s="5">
        <v>1325.0</v>
      </c>
      <c r="B1249" s="6">
        <v>251224.0</v>
      </c>
      <c r="C1249" s="4"/>
      <c r="D1249" s="17" t="s">
        <v>2379</v>
      </c>
      <c r="E1249" s="8" t="str">
        <f>IFERROR(__xludf.DUMMYFUNCTION("IF(
  LEN(TRIM(D1249))=0,
  ""왼쪽에 영어 문장을 입력하세요"",
  GOOGLETRANSLATE(D1249,""en"",""ko"")
)"),"포함하다")</f>
        <v>포함하다</v>
      </c>
      <c r="F1249" s="9" t="s">
        <v>2380</v>
      </c>
    </row>
    <row r="1250" ht="20.25" customHeight="1">
      <c r="A1250" s="5">
        <v>1326.0</v>
      </c>
      <c r="B1250" s="6">
        <v>251224.0</v>
      </c>
      <c r="C1250" s="4"/>
      <c r="D1250" s="17" t="s">
        <v>2381</v>
      </c>
      <c r="E1250" s="8" t="str">
        <f>IFERROR(__xludf.DUMMYFUNCTION("IF(
  LEN(TRIM(D1250))=0,
  ""왼쪽에 영어 문장을 입력하세요"",
  GOOGLETRANSLATE(D1250,""en"",""ko"")
)"),"끊다")</f>
        <v>끊다</v>
      </c>
      <c r="F1250" s="9" t="s">
        <v>2382</v>
      </c>
    </row>
    <row r="1251" ht="20.25" customHeight="1">
      <c r="A1251" s="5">
        <v>1327.0</v>
      </c>
      <c r="B1251" s="6">
        <v>251224.0</v>
      </c>
      <c r="C1251" s="4"/>
      <c r="D1251" s="17" t="s">
        <v>2383</v>
      </c>
      <c r="E1251" s="8" t="str">
        <f>IFERROR(__xludf.DUMMYFUNCTION("IF(
  LEN(TRIM(D1251))=0,
  ""왼쪽에 영어 문장을 입력하세요"",
  GOOGLETRANSLATE(D1251,""en"",""ko"")
)"),"옹호하다")</f>
        <v>옹호하다</v>
      </c>
      <c r="F1251" s="9" t="s">
        <v>2384</v>
      </c>
    </row>
    <row r="1252" ht="20.25" customHeight="1">
      <c r="A1252" s="5">
        <v>1328.0</v>
      </c>
      <c r="B1252" s="6">
        <v>251224.0</v>
      </c>
      <c r="C1252" s="4"/>
      <c r="D1252" s="17" t="s">
        <v>2385</v>
      </c>
      <c r="E1252" s="8" t="str">
        <f>IFERROR(__xludf.DUMMYFUNCTION("IF(
  LEN(TRIM(D1252))=0,
  ""왼쪽에 영어 문장을 입력하세요"",
  GOOGLETRANSLATE(D1252,""en"",""ko"")
)"),"고풍스러운")</f>
        <v>고풍스러운</v>
      </c>
      <c r="F1252" s="9" t="s">
        <v>2386</v>
      </c>
    </row>
    <row r="1253" ht="20.25" customHeight="1">
      <c r="A1253" s="5">
        <v>1329.0</v>
      </c>
      <c r="B1253" s="6">
        <v>251224.0</v>
      </c>
      <c r="C1253" s="4"/>
      <c r="D1253" s="17" t="s">
        <v>2387</v>
      </c>
      <c r="E1253" s="8" t="str">
        <f>IFERROR(__xludf.DUMMYFUNCTION("IF(
  LEN(TRIM(D1253))=0,
  ""왼쪽에 영어 문장을 입력하세요"",
  GOOGLETRANSLATE(D1253,""en"",""ko"")
)"),"의식")</f>
        <v>의식</v>
      </c>
      <c r="F1253" s="9" t="s">
        <v>2388</v>
      </c>
    </row>
    <row r="1254" ht="20.25" customHeight="1">
      <c r="A1254" s="5">
        <v>1330.0</v>
      </c>
      <c r="B1254" s="6">
        <v>251224.0</v>
      </c>
      <c r="C1254" s="4"/>
      <c r="D1254" s="17" t="s">
        <v>2389</v>
      </c>
      <c r="E1254" s="8" t="str">
        <f>IFERROR(__xludf.DUMMYFUNCTION("IF(
  LEN(TRIM(D1254))=0,
  ""왼쪽에 영어 문장을 입력하세요"",
  GOOGLETRANSLATE(D1254,""en"",""ko"")
)"),"와미")</f>
        <v>와미</v>
      </c>
      <c r="F1254" s="9" t="s">
        <v>2390</v>
      </c>
    </row>
    <row r="1255" ht="20.25" customHeight="1">
      <c r="A1255" s="5">
        <v>1331.0</v>
      </c>
      <c r="B1255" s="6">
        <v>251224.0</v>
      </c>
      <c r="C1255" s="4"/>
      <c r="D1255" s="17" t="s">
        <v>2391</v>
      </c>
      <c r="E1255" s="8" t="str">
        <f>IFERROR(__xludf.DUMMYFUNCTION("IF(
  LEN(TRIM(D1255))=0,
  ""왼쪽에 영어 문장을 입력하세요"",
  GOOGLETRANSLATE(D1255,""en"",""ko"")
)"),"모기")</f>
        <v>모기</v>
      </c>
      <c r="F1255" s="9" t="s">
        <v>2392</v>
      </c>
    </row>
    <row r="1256" ht="20.25" customHeight="1">
      <c r="A1256" s="5">
        <v>1332.0</v>
      </c>
      <c r="B1256" s="6">
        <v>251224.0</v>
      </c>
      <c r="C1256" s="4"/>
      <c r="D1256" s="17" t="s">
        <v>2393</v>
      </c>
      <c r="E1256" s="8" t="str">
        <f>IFERROR(__xludf.DUMMYFUNCTION("IF(
  LEN(TRIM(D1256))=0,
  ""왼쪽에 영어 문장을 입력하세요"",
  GOOGLETRANSLATE(D1256,""en"",""ko"")
)"),"대성공")</f>
        <v>대성공</v>
      </c>
      <c r="F1256" s="9" t="s">
        <v>2394</v>
      </c>
    </row>
    <row r="1257" ht="20.25" customHeight="1">
      <c r="A1257" s="5">
        <v>1333.0</v>
      </c>
      <c r="B1257" s="6">
        <v>251224.0</v>
      </c>
      <c r="C1257" s="4"/>
      <c r="D1257" s="17" t="s">
        <v>939</v>
      </c>
      <c r="E1257" s="8" t="str">
        <f>IFERROR(__xludf.DUMMYFUNCTION("IF(
  LEN(TRIM(D1257))=0,
  ""왼쪽에 영어 문장을 입력하세요"",
  GOOGLETRANSLATE(D1257,""en"",""ko"")
)"),"가짜")</f>
        <v>가짜</v>
      </c>
      <c r="F1257" s="9" t="s">
        <v>2395</v>
      </c>
    </row>
    <row r="1258" ht="20.25" customHeight="1">
      <c r="A1258" s="5">
        <v>1334.0</v>
      </c>
      <c r="B1258" s="6">
        <v>251224.0</v>
      </c>
      <c r="C1258" s="4"/>
      <c r="D1258" s="17" t="s">
        <v>827</v>
      </c>
      <c r="E1258" s="8" t="str">
        <f>IFERROR(__xludf.DUMMYFUNCTION("IF(
  LEN(TRIM(D1258))=0,
  ""왼쪽에 영어 문장을 입력하세요"",
  GOOGLETRANSLATE(D1258,""en"",""ko"")
)"),"자책감")</f>
        <v>자책감</v>
      </c>
      <c r="F1258" s="9" t="s">
        <v>2396</v>
      </c>
    </row>
    <row r="1259" ht="20.25" customHeight="1">
      <c r="A1259" s="5">
        <v>1335.0</v>
      </c>
      <c r="B1259" s="6">
        <v>251224.0</v>
      </c>
      <c r="C1259" s="4"/>
      <c r="D1259" s="17" t="s">
        <v>2397</v>
      </c>
      <c r="E1259" s="8" t="str">
        <f>IFERROR(__xludf.DUMMYFUNCTION("IF(
  LEN(TRIM(D1259))=0,
  ""왼쪽에 영어 문장을 입력하세요"",
  GOOGLETRANSLATE(D1259,""en"",""ko"")
)"),"정확성")</f>
        <v>정확성</v>
      </c>
      <c r="F1259" s="9" t="s">
        <v>2398</v>
      </c>
    </row>
    <row r="1260" ht="20.25" customHeight="1">
      <c r="A1260" s="5">
        <v>1336.0</v>
      </c>
      <c r="B1260" s="6">
        <v>251224.0</v>
      </c>
      <c r="C1260" s="4"/>
      <c r="D1260" s="17" t="s">
        <v>2399</v>
      </c>
      <c r="E1260" s="8" t="str">
        <f>IFERROR(__xludf.DUMMYFUNCTION("IF(
  LEN(TRIM(D1260))=0,
  ""왼쪽에 영어 문장을 입력하세요"",
  GOOGLETRANSLATE(D1260,""en"",""ko"")
)"),"아주 늙은 사람")</f>
        <v>아주 늙은 사람</v>
      </c>
      <c r="F1260" s="9" t="s">
        <v>2400</v>
      </c>
    </row>
    <row r="1261" ht="20.25" customHeight="1">
      <c r="A1261" s="5">
        <v>1337.0</v>
      </c>
      <c r="B1261" s="6">
        <v>251224.0</v>
      </c>
      <c r="C1261" s="4"/>
      <c r="D1261" s="17" t="s">
        <v>2401</v>
      </c>
      <c r="E1261" s="8" t="str">
        <f>IFERROR(__xludf.DUMMYFUNCTION("IF(
  LEN(TRIM(D1261))=0,
  ""왼쪽에 영어 문장을 입력하세요"",
  GOOGLETRANSLATE(D1261,""en"",""ko"")
)"),"선불")</f>
        <v>선불</v>
      </c>
      <c r="F1261" s="9" t="s">
        <v>2402</v>
      </c>
    </row>
    <row r="1262" ht="20.25" customHeight="1">
      <c r="A1262" s="5">
        <v>1338.0</v>
      </c>
      <c r="B1262" s="6">
        <v>251224.0</v>
      </c>
      <c r="C1262" s="4"/>
      <c r="D1262" s="17" t="s">
        <v>2403</v>
      </c>
      <c r="E1262" s="8" t="str">
        <f>IFERROR(__xludf.DUMMYFUNCTION("IF(
  LEN(TRIM(D1262))=0,
  ""왼쪽에 영어 문장을 입력하세요"",
  GOOGLETRANSLATE(D1262,""en"",""ko"")
)"),"로터스")</f>
        <v>로터스</v>
      </c>
      <c r="F1262" s="9" t="s">
        <v>2404</v>
      </c>
    </row>
    <row r="1263" ht="20.25" customHeight="1">
      <c r="A1263" s="5">
        <v>1339.0</v>
      </c>
      <c r="B1263" s="6">
        <v>251224.0</v>
      </c>
      <c r="C1263" s="4"/>
      <c r="D1263" s="17" t="s">
        <v>905</v>
      </c>
      <c r="E1263" s="8" t="str">
        <f>IFERROR(__xludf.DUMMYFUNCTION("IF(
  LEN(TRIM(D1263))=0,
  ""왼쪽에 영어 문장을 입력하세요"",
  GOOGLETRANSLATE(D1263,""en"",""ko"")
)"),"과시적인")</f>
        <v>과시적인</v>
      </c>
      <c r="F1263" s="9" t="s">
        <v>2405</v>
      </c>
    </row>
    <row r="1264" ht="20.25" customHeight="1">
      <c r="A1264" s="5">
        <v>1340.0</v>
      </c>
      <c r="B1264" s="6">
        <v>251224.0</v>
      </c>
      <c r="C1264" s="4"/>
      <c r="D1264" s="17" t="s">
        <v>2406</v>
      </c>
      <c r="E1264" s="8" t="str">
        <f>IFERROR(__xludf.DUMMYFUNCTION("IF(
  LEN(TRIM(D1264))=0,
  ""왼쪽에 영어 문장을 입력하세요"",
  GOOGLETRANSLATE(D1264,""en"",""ko"")
)"),"화장")</f>
        <v>화장</v>
      </c>
      <c r="F1264" s="9" t="s">
        <v>2407</v>
      </c>
    </row>
    <row r="1265" ht="20.25" customHeight="1">
      <c r="A1265" s="5">
        <v>1341.0</v>
      </c>
      <c r="B1265" s="6">
        <v>251224.0</v>
      </c>
      <c r="C1265" s="4"/>
      <c r="D1265" s="17" t="s">
        <v>2408</v>
      </c>
      <c r="E1265" s="8" t="str">
        <f>IFERROR(__xludf.DUMMYFUNCTION("IF(
  LEN(TRIM(D1265))=0,
  ""왼쪽에 영어 문장을 입력하세요"",
  GOOGLETRANSLATE(D1265,""en"",""ko"")
)"),"모방하다")</f>
        <v>모방하다</v>
      </c>
      <c r="F1265" s="9" t="s">
        <v>2409</v>
      </c>
    </row>
    <row r="1266" ht="20.25" customHeight="1">
      <c r="A1266" s="5">
        <v>1342.0</v>
      </c>
      <c r="B1266" s="6">
        <v>251224.0</v>
      </c>
      <c r="C1266" s="4"/>
      <c r="D1266" s="17" t="s">
        <v>2410</v>
      </c>
      <c r="E1266" s="8" t="str">
        <f>IFERROR(__xludf.DUMMYFUNCTION("IF(
  LEN(TRIM(D1266))=0,
  ""왼쪽에 영어 문장을 입력하세요"",
  GOOGLETRANSLATE(D1266,""en"",""ko"")
)"),"부진한")</f>
        <v>부진한</v>
      </c>
      <c r="F1266" s="9" t="s">
        <v>2411</v>
      </c>
    </row>
    <row r="1267" ht="20.25" customHeight="1">
      <c r="A1267" s="5">
        <v>1343.0</v>
      </c>
      <c r="B1267" s="6">
        <v>251224.0</v>
      </c>
      <c r="C1267" s="4"/>
      <c r="D1267" s="17" t="s">
        <v>2412</v>
      </c>
      <c r="E1267" s="8" t="str">
        <f>IFERROR(__xludf.DUMMYFUNCTION("IF(
  LEN(TRIM(D1267))=0,
  ""왼쪽에 영어 문장을 입력하세요"",
  GOOGLETRANSLATE(D1267,""en"",""ko"")
)"),"밀다")</f>
        <v>밀다</v>
      </c>
      <c r="F1267" s="9" t="s">
        <v>2413</v>
      </c>
    </row>
    <row r="1268" ht="20.25" customHeight="1">
      <c r="A1268" s="5">
        <v>1344.0</v>
      </c>
      <c r="B1268" s="6">
        <v>251224.0</v>
      </c>
      <c r="C1268" s="4"/>
      <c r="D1268" s="17" t="s">
        <v>2414</v>
      </c>
      <c r="E1268" s="8" t="str">
        <f>IFERROR(__xludf.DUMMYFUNCTION("IF(
  LEN(TRIM(D1268))=0,
  ""왼쪽에 영어 문장을 입력하세요"",
  GOOGLETRANSLATE(D1268,""en"",""ko"")
)"),"반환")</f>
        <v>반환</v>
      </c>
      <c r="F1268" s="9" t="s">
        <v>2415</v>
      </c>
    </row>
    <row r="1269" ht="20.25" customHeight="1">
      <c r="A1269" s="5">
        <v>1345.0</v>
      </c>
      <c r="B1269" s="6">
        <v>251224.0</v>
      </c>
      <c r="C1269" s="4"/>
      <c r="D1269" s="17" t="s">
        <v>2416</v>
      </c>
      <c r="E1269" s="8" t="str">
        <f>IFERROR(__xludf.DUMMYFUNCTION("IF(
  LEN(TRIM(D1269))=0,
  ""왼쪽에 영어 문장을 입력하세요"",
  GOOGLETRANSLATE(D1269,""en"",""ko"")
)"),"때늦은")</f>
        <v>때늦은</v>
      </c>
      <c r="F1269" s="9" t="s">
        <v>2417</v>
      </c>
    </row>
    <row r="1270" ht="20.25" customHeight="1">
      <c r="A1270" s="5">
        <v>1346.0</v>
      </c>
      <c r="B1270" s="6">
        <v>251224.0</v>
      </c>
      <c r="C1270" s="4"/>
      <c r="D1270" s="17" t="s">
        <v>2418</v>
      </c>
      <c r="E1270" s="8" t="str">
        <f>IFERROR(__xludf.DUMMYFUNCTION("IF(
  LEN(TRIM(D1270))=0,
  ""왼쪽에 영어 문장을 입력하세요"",
  GOOGLETRANSLATE(D1270,""en"",""ko"")
)"),"혼란")</f>
        <v>혼란</v>
      </c>
      <c r="F1270" s="9" t="s">
        <v>2419</v>
      </c>
    </row>
    <row r="1271" ht="20.25" customHeight="1">
      <c r="A1271" s="5">
        <v>1347.0</v>
      </c>
      <c r="B1271" s="6">
        <v>251224.0</v>
      </c>
      <c r="C1271" s="4"/>
      <c r="D1271" s="17" t="s">
        <v>2420</v>
      </c>
      <c r="E1271" s="8" t="str">
        <f>IFERROR(__xludf.DUMMYFUNCTION("IF(
  LEN(TRIM(D1271))=0,
  ""왼쪽에 영어 문장을 입력하세요"",
  GOOGLETRANSLATE(D1271,""en"",""ko"")
)"),"인지")</f>
        <v>인지</v>
      </c>
      <c r="F1271" s="9" t="s">
        <v>2421</v>
      </c>
    </row>
    <row r="1272" ht="20.25" customHeight="1">
      <c r="A1272" s="5">
        <v>1348.0</v>
      </c>
      <c r="B1272" s="6">
        <v>251224.0</v>
      </c>
      <c r="C1272" s="4"/>
      <c r="D1272" s="17" t="s">
        <v>2422</v>
      </c>
      <c r="E1272" s="8" t="str">
        <f>IFERROR(__xludf.DUMMYFUNCTION("IF(
  LEN(TRIM(D1272))=0,
  ""왼쪽에 영어 문장을 입력하세요"",
  GOOGLETRANSLATE(D1272,""en"",""ko"")
)"),"틈새")</f>
        <v>틈새</v>
      </c>
      <c r="F1272" s="9" t="s">
        <v>2423</v>
      </c>
    </row>
    <row r="1273" ht="20.25" customHeight="1">
      <c r="A1273" s="5">
        <v>1349.0</v>
      </c>
      <c r="B1273" s="6">
        <v>251224.0</v>
      </c>
      <c r="C1273" s="4"/>
      <c r="D1273" s="17" t="s">
        <v>2424</v>
      </c>
      <c r="E1273" s="8" t="str">
        <f>IFERROR(__xludf.DUMMYFUNCTION("IF(
  LEN(TRIM(D1273))=0,
  ""왼쪽에 영어 문장을 입력하세요"",
  GOOGLETRANSLATE(D1273,""en"",""ko"")
)"),"분해 검사")</f>
        <v>분해 검사</v>
      </c>
      <c r="F1273" s="9" t="s">
        <v>2425</v>
      </c>
    </row>
    <row r="1274" ht="20.25" customHeight="1">
      <c r="A1274" s="5">
        <v>1350.0</v>
      </c>
      <c r="B1274" s="6">
        <v>251224.0</v>
      </c>
      <c r="C1274" s="4"/>
      <c r="D1274" s="17" t="s">
        <v>2426</v>
      </c>
      <c r="E1274" s="8" t="str">
        <f>IFERROR(__xludf.DUMMYFUNCTION("IF(
  LEN(TRIM(D1274))=0,
  ""왼쪽에 영어 문장을 입력하세요"",
  GOOGLETRANSLATE(D1274,""en"",""ko"")
)"),"광석")</f>
        <v>광석</v>
      </c>
      <c r="F1274" s="9" t="s">
        <v>2427</v>
      </c>
    </row>
    <row r="1275" ht="20.25" customHeight="1">
      <c r="A1275" s="5">
        <v>1351.0</v>
      </c>
      <c r="B1275" s="6">
        <v>251224.0</v>
      </c>
      <c r="C1275" s="4"/>
      <c r="D1275" s="17" t="s">
        <v>2428</v>
      </c>
      <c r="E1275" s="8" t="str">
        <f>IFERROR(__xludf.DUMMYFUNCTION("IF(
  LEN(TRIM(D1275))=0,
  ""왼쪽에 영어 문장을 입력하세요"",
  GOOGLETRANSLATE(D1275,""en"",""ko"")
)"),"차가운")</f>
        <v>차가운</v>
      </c>
      <c r="F1275" s="9" t="s">
        <v>2429</v>
      </c>
    </row>
    <row r="1276" ht="20.25" customHeight="1">
      <c r="A1276" s="5">
        <v>1352.0</v>
      </c>
      <c r="B1276" s="6">
        <v>251224.0</v>
      </c>
      <c r="C1276" s="4"/>
      <c r="D1276" s="17" t="s">
        <v>2430</v>
      </c>
      <c r="E1276" s="8" t="str">
        <f>IFERROR(__xludf.DUMMYFUNCTION("IF(
  LEN(TRIM(D1276))=0,
  ""왼쪽에 영어 문장을 입력하세요"",
  GOOGLETRANSLATE(D1276,""en"",""ko"")
)"),"또한")</f>
        <v>또한</v>
      </c>
      <c r="F1276" s="9" t="s">
        <v>2431</v>
      </c>
    </row>
    <row r="1277" ht="20.25" customHeight="1">
      <c r="A1277" s="5">
        <v>1353.0</v>
      </c>
      <c r="B1277" s="6">
        <v>251224.0</v>
      </c>
      <c r="C1277" s="4"/>
      <c r="D1277" s="17" t="s">
        <v>2432</v>
      </c>
      <c r="E1277" s="8" t="str">
        <f>IFERROR(__xludf.DUMMYFUNCTION("IF(
  LEN(TRIM(D1277))=0,
  ""왼쪽에 영어 문장을 입력하세요"",
  GOOGLETRANSLATE(D1277,""en"",""ko"")
)"),"떨어지다")</f>
        <v>떨어지다</v>
      </c>
      <c r="F1277" s="9" t="s">
        <v>2433</v>
      </c>
    </row>
    <row r="1278" ht="20.25" customHeight="1">
      <c r="A1278" s="5">
        <v>1354.0</v>
      </c>
      <c r="B1278" s="6">
        <v>251224.0</v>
      </c>
      <c r="C1278" s="4"/>
      <c r="D1278" s="17" t="s">
        <v>2434</v>
      </c>
      <c r="E1278" s="8" t="str">
        <f>IFERROR(__xludf.DUMMYFUNCTION("IF(
  LEN(TRIM(D1278))=0,
  ""왼쪽에 영어 문장을 입력하세요"",
  GOOGLETRANSLATE(D1278,""en"",""ko"")
)"),"상태")</f>
        <v>상태</v>
      </c>
      <c r="F1278" s="9" t="s">
        <v>2435</v>
      </c>
    </row>
    <row r="1279" ht="20.25" customHeight="1">
      <c r="A1279" s="5">
        <v>1355.0</v>
      </c>
      <c r="B1279" s="6">
        <v>251224.0</v>
      </c>
      <c r="C1279" s="4"/>
      <c r="D1279" s="17" t="s">
        <v>2436</v>
      </c>
      <c r="E1279" s="8" t="str">
        <f>IFERROR(__xludf.DUMMYFUNCTION("IF(
  LEN(TRIM(D1279))=0,
  ""왼쪽에 영어 문장을 입력하세요"",
  GOOGLETRANSLATE(D1279,""en"",""ko"")
)"),"다년생")</f>
        <v>다년생</v>
      </c>
      <c r="F1279" s="9" t="s">
        <v>2437</v>
      </c>
    </row>
    <row r="1280" ht="20.25" customHeight="1">
      <c r="A1280" s="5">
        <v>1356.0</v>
      </c>
      <c r="B1280" s="6">
        <v>251224.0</v>
      </c>
      <c r="C1280" s="4"/>
      <c r="D1280" s="17" t="s">
        <v>1419</v>
      </c>
      <c r="E1280" s="8" t="str">
        <f>IFERROR(__xludf.DUMMYFUNCTION("IF(
  LEN(TRIM(D1280))=0,
  ""왼쪽에 영어 문장을 입력하세요"",
  GOOGLETRANSLATE(D1280,""en"",""ko"")
)"),"달래다")</f>
        <v>달래다</v>
      </c>
      <c r="F1280" s="9" t="s">
        <v>2438</v>
      </c>
    </row>
    <row r="1281" ht="20.25" customHeight="1">
      <c r="A1281" s="5">
        <v>1357.0</v>
      </c>
      <c r="B1281" s="6">
        <v>251224.0</v>
      </c>
      <c r="C1281" s="4"/>
      <c r="D1281" s="17" t="s">
        <v>2439</v>
      </c>
      <c r="E1281" s="8" t="str">
        <f>IFERROR(__xludf.DUMMYFUNCTION("IF(
  LEN(TRIM(D1281))=0,
  ""왼쪽에 영어 문장을 입력하세요"",
  GOOGLETRANSLATE(D1281,""en"",""ko"")
)"),"휴전")</f>
        <v>휴전</v>
      </c>
      <c r="F1281" s="9" t="s">
        <v>2440</v>
      </c>
    </row>
    <row r="1282" ht="20.25" customHeight="1">
      <c r="A1282" s="5">
        <v>1358.0</v>
      </c>
      <c r="B1282" s="6">
        <v>251224.0</v>
      </c>
      <c r="C1282" s="4"/>
      <c r="D1282" s="17" t="s">
        <v>2441</v>
      </c>
      <c r="E1282" s="8" t="str">
        <f>IFERROR(__xludf.DUMMYFUNCTION("IF(
  LEN(TRIM(D1282))=0,
  ""왼쪽에 영어 문장을 입력하세요"",
  GOOGLETRANSLATE(D1282,""en"",""ko"")
)"),"장난")</f>
        <v>장난</v>
      </c>
      <c r="F1282" s="9" t="s">
        <v>2442</v>
      </c>
    </row>
    <row r="1283" ht="20.25" customHeight="1">
      <c r="A1283" s="5">
        <v>1359.0</v>
      </c>
      <c r="B1283" s="6">
        <v>251224.0</v>
      </c>
      <c r="C1283" s="4"/>
      <c r="D1283" s="17" t="s">
        <v>2443</v>
      </c>
      <c r="E1283" s="8" t="str">
        <f>IFERROR(__xludf.DUMMYFUNCTION("IF(
  LEN(TRIM(D1283))=0,
  ""왼쪽에 영어 문장을 입력하세요"",
  GOOGLETRANSLATE(D1283,""en"",""ko"")
)"),"돌풍")</f>
        <v>돌풍</v>
      </c>
      <c r="F1283" s="9" t="s">
        <v>2444</v>
      </c>
    </row>
    <row r="1284" ht="20.25" customHeight="1">
      <c r="A1284" s="5">
        <v>1360.0</v>
      </c>
      <c r="B1284" s="6">
        <v>251224.0</v>
      </c>
      <c r="C1284" s="4"/>
      <c r="D1284" s="17" t="s">
        <v>2445</v>
      </c>
      <c r="E1284" s="8" t="str">
        <f>IFERROR(__xludf.DUMMYFUNCTION("IF(
  LEN(TRIM(D1284))=0,
  ""왼쪽에 영어 문장을 입력하세요"",
  GOOGLETRANSLATE(D1284,""en"",""ko"")
)"),"구제")</f>
        <v>구제</v>
      </c>
      <c r="F1284" s="9" t="s">
        <v>2446</v>
      </c>
    </row>
    <row r="1285" ht="20.25" customHeight="1">
      <c r="A1285" s="5">
        <v>1361.0</v>
      </c>
      <c r="B1285" s="6">
        <v>251224.0</v>
      </c>
      <c r="C1285" s="4"/>
      <c r="D1285" s="17" t="s">
        <v>2447</v>
      </c>
      <c r="E1285" s="8" t="str">
        <f>IFERROR(__xludf.DUMMYFUNCTION("IF(
  LEN(TRIM(D1285))=0,
  ""왼쪽에 영어 문장을 입력하세요"",
  GOOGLETRANSLATE(D1285,""en"",""ko"")
)"),"어안이 벙벙해졌어요")</f>
        <v>어안이 벙벙해졌어요</v>
      </c>
      <c r="F1285" s="9" t="s">
        <v>2448</v>
      </c>
    </row>
    <row r="1286" ht="20.25" customHeight="1">
      <c r="A1286" s="5">
        <v>1362.0</v>
      </c>
      <c r="B1286" s="6">
        <v>251224.0</v>
      </c>
      <c r="C1286" s="4"/>
      <c r="D1286" s="17" t="s">
        <v>2449</v>
      </c>
      <c r="E1286" s="8" t="str">
        <f>IFERROR(__xludf.DUMMYFUNCTION("IF(
  LEN(TRIM(D1286))=0,
  ""왼쪽에 영어 문장을 입력하세요"",
  GOOGLETRANSLATE(D1286,""en"",""ko"")
)"),"환회")</f>
        <v>환회</v>
      </c>
      <c r="F1286" s="9" t="s">
        <v>2450</v>
      </c>
    </row>
    <row r="1287" ht="20.25" customHeight="1">
      <c r="A1287" s="5">
        <v>1363.0</v>
      </c>
      <c r="B1287" s="6">
        <v>251224.0</v>
      </c>
      <c r="C1287" s="4"/>
      <c r="D1287" s="17" t="s">
        <v>2451</v>
      </c>
      <c r="E1287" s="8" t="str">
        <f>IFERROR(__xludf.DUMMYFUNCTION("IF(
  LEN(TRIM(D1287))=0,
  ""왼쪽에 영어 문장을 입력하세요"",
  GOOGLETRANSLATE(D1287,""en"",""ko"")
)"),"무죄를 선고하다")</f>
        <v>무죄를 선고하다</v>
      </c>
      <c r="F1287" s="9" t="s">
        <v>2452</v>
      </c>
    </row>
    <row r="1288" ht="20.25" customHeight="1">
      <c r="A1288" s="5">
        <v>1364.0</v>
      </c>
      <c r="B1288" s="6">
        <v>251224.0</v>
      </c>
      <c r="C1288" s="4"/>
      <c r="D1288" s="17" t="s">
        <v>2453</v>
      </c>
      <c r="E1288" s="8" t="str">
        <f>IFERROR(__xludf.DUMMYFUNCTION("IF(
  LEN(TRIM(D1288))=0,
  ""왼쪽에 영어 문장을 입력하세요"",
  GOOGLETRANSLATE(D1288,""en"",""ko"")
)"),"항의")</f>
        <v>항의</v>
      </c>
      <c r="F1288" s="9" t="s">
        <v>2454</v>
      </c>
    </row>
    <row r="1289" ht="20.25" customHeight="1">
      <c r="A1289" s="5">
        <v>1365.0</v>
      </c>
      <c r="B1289" s="6">
        <v>251224.0</v>
      </c>
      <c r="C1289" s="4"/>
      <c r="D1289" s="17" t="s">
        <v>2455</v>
      </c>
      <c r="E1289" s="8" t="str">
        <f>IFERROR(__xludf.DUMMYFUNCTION("IF(
  LEN(TRIM(D1289))=0,
  ""왼쪽에 영어 문장을 입력하세요"",
  GOOGLETRANSLATE(D1289,""en"",""ko"")
)"),"창고")</f>
        <v>창고</v>
      </c>
      <c r="F1289" s="9" t="s">
        <v>2456</v>
      </c>
    </row>
    <row r="1290" ht="20.25" customHeight="1">
      <c r="A1290" s="5">
        <v>1366.0</v>
      </c>
      <c r="B1290" s="6">
        <v>251224.0</v>
      </c>
      <c r="C1290" s="4"/>
      <c r="D1290" s="17" t="s">
        <v>2457</v>
      </c>
      <c r="E1290" s="8" t="str">
        <f>IFERROR(__xludf.DUMMYFUNCTION("IF(
  LEN(TRIM(D1290))=0,
  ""왼쪽에 영어 문장을 입력하세요"",
  GOOGLETRANSLATE(D1290,""en"",""ko"")
)"),"임박한")</f>
        <v>임박한</v>
      </c>
      <c r="F1290" s="9" t="s">
        <v>2458</v>
      </c>
    </row>
    <row r="1291" ht="20.25" customHeight="1">
      <c r="A1291" s="5">
        <v>1367.0</v>
      </c>
      <c r="B1291" s="6">
        <v>251224.0</v>
      </c>
      <c r="C1291" s="4"/>
      <c r="D1291" s="17" t="s">
        <v>2459</v>
      </c>
      <c r="E1291" s="8" t="str">
        <f>IFERROR(__xludf.DUMMYFUNCTION("IF(
  LEN(TRIM(D1291))=0,
  ""왼쪽에 영어 문장을 입력하세요"",
  GOOGLETRANSLATE(D1291,""en"",""ko"")
)"),"남기다")</f>
        <v>남기다</v>
      </c>
      <c r="F1291" s="9" t="s">
        <v>2460</v>
      </c>
    </row>
    <row r="1292" ht="20.25" customHeight="1">
      <c r="A1292" s="5">
        <v>1368.0</v>
      </c>
      <c r="B1292" s="6">
        <v>251224.0</v>
      </c>
      <c r="C1292" s="4"/>
      <c r="D1292" s="17" t="s">
        <v>2461</v>
      </c>
      <c r="E1292" s="8" t="str">
        <f>IFERROR(__xludf.DUMMYFUNCTION("IF(
  LEN(TRIM(D1292))=0,
  ""왼쪽에 영어 문장을 입력하세요"",
  GOOGLETRANSLATE(D1292,""en"",""ko"")
)"),"광주리")</f>
        <v>광주리</v>
      </c>
      <c r="F1292" s="9" t="s">
        <v>2462</v>
      </c>
    </row>
    <row r="1293" ht="20.25" customHeight="1">
      <c r="A1293" s="5">
        <v>1369.0</v>
      </c>
      <c r="B1293" s="6">
        <v>251224.0</v>
      </c>
      <c r="C1293" s="4"/>
      <c r="D1293" s="17" t="s">
        <v>2463</v>
      </c>
      <c r="E1293" s="8" t="str">
        <f>IFERROR(__xludf.DUMMYFUNCTION("IF(
  LEN(TRIM(D1293))=0,
  ""왼쪽에 영어 문장을 입력하세요"",
  GOOGLETRANSLATE(D1293,""en"",""ko"")
)"),"맹렬한")</f>
        <v>맹렬한</v>
      </c>
      <c r="F1293" s="9" t="s">
        <v>2464</v>
      </c>
    </row>
    <row r="1294" ht="20.25" customHeight="1">
      <c r="A1294" s="5">
        <v>1370.0</v>
      </c>
      <c r="B1294" s="6">
        <v>251224.0</v>
      </c>
      <c r="C1294" s="4"/>
      <c r="D1294" s="17" t="s">
        <v>2465</v>
      </c>
      <c r="E1294" s="8" t="str">
        <f>IFERROR(__xludf.DUMMYFUNCTION("IF(
  LEN(TRIM(D1294))=0,
  ""왼쪽에 영어 문장을 입력하세요"",
  GOOGLETRANSLATE(D1294,""en"",""ko"")
)"),"놋쇠")</f>
        <v>놋쇠</v>
      </c>
      <c r="F1294" s="9" t="s">
        <v>2466</v>
      </c>
    </row>
    <row r="1295" ht="20.25" customHeight="1">
      <c r="A1295" s="5">
        <v>1371.0</v>
      </c>
      <c r="B1295" s="6">
        <v>251224.0</v>
      </c>
      <c r="C1295" s="4"/>
      <c r="D1295" s="17" t="s">
        <v>2467</v>
      </c>
      <c r="E1295" s="8" t="str">
        <f>IFERROR(__xludf.DUMMYFUNCTION("IF(
  LEN(TRIM(D1295))=0,
  ""왼쪽에 영어 문장을 입력하세요"",
  GOOGLETRANSLATE(D1295,""en"",""ko"")
)"),"부표")</f>
        <v>부표</v>
      </c>
      <c r="F1295" s="9" t="s">
        <v>2468</v>
      </c>
    </row>
    <row r="1296" ht="20.25" customHeight="1">
      <c r="A1296" s="5">
        <v>1372.0</v>
      </c>
      <c r="B1296" s="6">
        <v>251224.0</v>
      </c>
      <c r="C1296" s="4"/>
      <c r="D1296" s="17" t="s">
        <v>2469</v>
      </c>
      <c r="E1296" s="8" t="str">
        <f>IFERROR(__xludf.DUMMYFUNCTION("IF(
  LEN(TRIM(D1296))=0,
  ""왼쪽에 영어 문장을 입력하세요"",
  GOOGLETRANSLATE(D1296,""en"",""ko"")
)"),"산책")</f>
        <v>산책</v>
      </c>
      <c r="F1296" s="9" t="s">
        <v>2470</v>
      </c>
    </row>
    <row r="1297" ht="20.25" customHeight="1">
      <c r="A1297" s="5">
        <v>1373.0</v>
      </c>
      <c r="B1297" s="6">
        <v>251224.0</v>
      </c>
      <c r="C1297" s="4"/>
      <c r="D1297" s="17" t="s">
        <v>2471</v>
      </c>
      <c r="E1297" s="8" t="str">
        <f>IFERROR(__xludf.DUMMYFUNCTION("IF(
  LEN(TRIM(D1297))=0,
  ""왼쪽에 영어 문장을 입력하세요"",
  GOOGLETRANSLATE(D1297,""en"",""ko"")
)"),"증권거래소")</f>
        <v>증권거래소</v>
      </c>
      <c r="F1297" s="9" t="s">
        <v>2472</v>
      </c>
    </row>
    <row r="1298" ht="20.25" customHeight="1">
      <c r="A1298" s="5">
        <v>1374.0</v>
      </c>
      <c r="B1298" s="6">
        <v>251224.0</v>
      </c>
      <c r="C1298" s="4"/>
      <c r="D1298" s="17" t="s">
        <v>2473</v>
      </c>
      <c r="E1298" s="8" t="str">
        <f>IFERROR(__xludf.DUMMYFUNCTION("IF(
  LEN(TRIM(D1298))=0,
  ""왼쪽에 영어 문장을 입력하세요"",
  GOOGLETRANSLATE(D1298,""en"",""ko"")
)"),"와해")</f>
        <v>와해</v>
      </c>
      <c r="F1298" s="9" t="s">
        <v>2474</v>
      </c>
    </row>
    <row r="1299" ht="20.25" customHeight="1">
      <c r="A1299" s="5">
        <v>1375.0</v>
      </c>
      <c r="B1299" s="6">
        <v>251224.0</v>
      </c>
      <c r="C1299" s="4"/>
      <c r="D1299" s="17" t="s">
        <v>2475</v>
      </c>
      <c r="E1299" s="8" t="str">
        <f>IFERROR(__xludf.DUMMYFUNCTION("IF(
  LEN(TRIM(D1299))=0,
  ""왼쪽에 영어 문장을 입력하세요"",
  GOOGLETRANSLATE(D1299,""en"",""ko"")
)"),"수목")</f>
        <v>수목</v>
      </c>
      <c r="F1299" s="9" t="s">
        <v>2476</v>
      </c>
    </row>
    <row r="1300" ht="20.25" customHeight="1">
      <c r="A1300" s="5">
        <v>1376.0</v>
      </c>
      <c r="B1300" s="6">
        <v>251224.0</v>
      </c>
      <c r="C1300" s="4"/>
      <c r="D1300" s="17" t="s">
        <v>2477</v>
      </c>
      <c r="E1300" s="8" t="str">
        <f>IFERROR(__xludf.DUMMYFUNCTION("IF(
  LEN(TRIM(D1300))=0,
  ""왼쪽에 영어 문장을 입력하세요"",
  GOOGLETRANSLATE(D1300,""en"",""ko"")
)"),"재정")</f>
        <v>재정</v>
      </c>
      <c r="F1300" s="9" t="s">
        <v>2478</v>
      </c>
    </row>
    <row r="1301" ht="20.25" customHeight="1">
      <c r="A1301" s="5">
        <v>1377.0</v>
      </c>
      <c r="B1301" s="6">
        <v>251224.0</v>
      </c>
      <c r="C1301" s="4"/>
      <c r="D1301" s="17" t="s">
        <v>2479</v>
      </c>
      <c r="E1301" s="8" t="str">
        <f>IFERROR(__xludf.DUMMYFUNCTION("IF(
  LEN(TRIM(D1301))=0,
  ""왼쪽에 영어 문장을 입력하세요"",
  GOOGLETRANSLATE(D1301,""en"",""ko"")
)"),"회계연도")</f>
        <v>회계연도</v>
      </c>
      <c r="F1301" s="9" t="s">
        <v>2480</v>
      </c>
    </row>
    <row r="1302" ht="20.25" customHeight="1">
      <c r="A1302" s="5">
        <v>1378.0</v>
      </c>
      <c r="B1302" s="6">
        <v>251224.0</v>
      </c>
      <c r="C1302" s="4"/>
      <c r="D1302" s="17" t="s">
        <v>2481</v>
      </c>
      <c r="E1302" s="8" t="str">
        <f>IFERROR(__xludf.DUMMYFUNCTION("IF(
  LEN(TRIM(D1302))=0,
  ""왼쪽에 영어 문장을 입력하세요"",
  GOOGLETRANSLATE(D1302,""en"",""ko"")
)"),"바람을 쐬다")</f>
        <v>바람을 쐬다</v>
      </c>
      <c r="F1302" s="9" t="s">
        <v>2482</v>
      </c>
    </row>
    <row r="1303" ht="20.25" customHeight="1">
      <c r="A1303" s="5">
        <v>1379.0</v>
      </c>
      <c r="B1303" s="6">
        <v>251224.0</v>
      </c>
      <c r="C1303" s="4"/>
      <c r="D1303" s="17" t="s">
        <v>2483</v>
      </c>
      <c r="E1303" s="8" t="str">
        <f>IFERROR(__xludf.DUMMYFUNCTION("IF(
  LEN(TRIM(D1303))=0,
  ""왼쪽에 영어 문장을 입력하세요"",
  GOOGLETRANSLATE(D1303,""en"",""ko"")
)"),"수축기")</f>
        <v>수축기</v>
      </c>
      <c r="F1303" s="9" t="s">
        <v>2484</v>
      </c>
    </row>
    <row r="1304" ht="20.25" customHeight="1">
      <c r="A1304" s="5">
        <v>1380.0</v>
      </c>
      <c r="B1304" s="6">
        <v>251224.0</v>
      </c>
      <c r="C1304" s="4"/>
      <c r="D1304" s="17" t="s">
        <v>2485</v>
      </c>
      <c r="E1304" s="8" t="str">
        <f>IFERROR(__xludf.DUMMYFUNCTION("IF(
  LEN(TRIM(D1304))=0,
  ""왼쪽에 영어 문장을 입력하세요"",
  GOOGLETRANSLATE(D1304,""en"",""ko"")
)"),"파이썬")</f>
        <v>파이썬</v>
      </c>
      <c r="F1304" s="9" t="s">
        <v>2486</v>
      </c>
    </row>
    <row r="1305" ht="20.25" customHeight="1">
      <c r="A1305" s="5">
        <v>1381.0</v>
      </c>
      <c r="B1305" s="6">
        <v>251224.0</v>
      </c>
      <c r="C1305" s="4"/>
      <c r="D1305" s="17" t="s">
        <v>2487</v>
      </c>
      <c r="E1305" s="8" t="str">
        <f>IFERROR(__xludf.DUMMYFUNCTION("IF(
  LEN(TRIM(D1305))=0,
  ""왼쪽에 영어 문장을 입력하세요"",
  GOOGLETRANSLATE(D1305,""en"",""ko"")
)"),"여위다")</f>
        <v>여위다</v>
      </c>
      <c r="F1305" s="9" t="s">
        <v>2488</v>
      </c>
    </row>
    <row r="1306" ht="20.25" customHeight="1">
      <c r="A1306" s="5">
        <v>1382.0</v>
      </c>
      <c r="B1306" s="6">
        <v>251224.0</v>
      </c>
      <c r="C1306" s="4"/>
      <c r="D1306" s="17" t="s">
        <v>2489</v>
      </c>
      <c r="E1306" s="8" t="str">
        <f>IFERROR(__xludf.DUMMYFUNCTION("IF(
  LEN(TRIM(D1306))=0,
  ""왼쪽에 영어 문장을 입력하세요"",
  GOOGLETRANSLATE(D1306,""en"",""ko"")
)"),"둘러대는")</f>
        <v>둘러대는</v>
      </c>
      <c r="F1306" s="9" t="s">
        <v>2490</v>
      </c>
    </row>
    <row r="1307" ht="20.25" customHeight="1">
      <c r="A1307" s="5">
        <v>1383.0</v>
      </c>
      <c r="B1307" s="6">
        <v>251224.0</v>
      </c>
      <c r="C1307" s="4"/>
      <c r="D1307" s="17" t="s">
        <v>2491</v>
      </c>
      <c r="E1307" s="8" t="str">
        <f>IFERROR(__xludf.DUMMYFUNCTION("IF(
  LEN(TRIM(D1307))=0,
  ""왼쪽에 영어 문장을 입력하세요"",
  GOOGLETRANSLATE(D1307,""en"",""ko"")
)"),"강타")</f>
        <v>강타</v>
      </c>
      <c r="F1307" s="9" t="s">
        <v>2492</v>
      </c>
    </row>
    <row r="1308" ht="20.25" customHeight="1">
      <c r="A1308" s="5">
        <v>1384.0</v>
      </c>
      <c r="B1308" s="6">
        <v>251224.0</v>
      </c>
      <c r="C1308" s="4"/>
      <c r="D1308" s="17" t="s">
        <v>2493</v>
      </c>
      <c r="E1308" s="8" t="str">
        <f>IFERROR(__xludf.DUMMYFUNCTION("IF(
  LEN(TRIM(D1308))=0,
  ""왼쪽에 영어 문장을 입력하세요"",
  GOOGLETRANSLATE(D1308,""en"",""ko"")
)"),"장난")</f>
        <v>장난</v>
      </c>
      <c r="F1308" s="9" t="s">
        <v>2494</v>
      </c>
    </row>
    <row r="1309" ht="20.25" customHeight="1">
      <c r="A1309" s="5">
        <v>1385.0</v>
      </c>
      <c r="B1309" s="6">
        <v>251224.0</v>
      </c>
      <c r="C1309" s="4"/>
      <c r="D1309" s="17" t="s">
        <v>2495</v>
      </c>
      <c r="E1309" s="8" t="str">
        <f>IFERROR(__xludf.DUMMYFUNCTION("IF(
  LEN(TRIM(D1309))=0,
  ""왼쪽에 영어 문장을 입력하세요"",
  GOOGLETRANSLATE(D1309,""en"",""ko"")
)"),"칭찬하다")</f>
        <v>칭찬하다</v>
      </c>
      <c r="F1309" s="9" t="s">
        <v>2496</v>
      </c>
    </row>
    <row r="1310" ht="20.25" customHeight="1">
      <c r="A1310" s="5">
        <v>1386.0</v>
      </c>
      <c r="B1310" s="6">
        <v>251224.0</v>
      </c>
      <c r="C1310" s="4"/>
      <c r="D1310" s="17" t="s">
        <v>2497</v>
      </c>
      <c r="E1310" s="8" t="str">
        <f>IFERROR(__xludf.DUMMYFUNCTION("IF(
  LEN(TRIM(D1310))=0,
  ""왼쪽에 영어 문장을 입력하세요"",
  GOOGLETRANSLATE(D1310,""en"",""ko"")
)"),"견책")</f>
        <v>견책</v>
      </c>
      <c r="F1310" s="9" t="s">
        <v>2498</v>
      </c>
    </row>
    <row r="1311" ht="20.25" customHeight="1">
      <c r="A1311" s="5">
        <v>1387.0</v>
      </c>
      <c r="B1311" s="6">
        <v>251224.0</v>
      </c>
      <c r="C1311" s="4"/>
      <c r="D1311" s="17" t="s">
        <v>2499</v>
      </c>
      <c r="E1311" s="8" t="str">
        <f>IFERROR(__xludf.DUMMYFUNCTION("IF(
  LEN(TRIM(D1311))=0,
  ""왼쪽에 영어 문장을 입력하세요"",
  GOOGLETRANSLATE(D1311,""en"",""ko"")
)"),"묽고 싱거운")</f>
        <v>묽고 싱거운</v>
      </c>
      <c r="F1311" s="9" t="s">
        <v>2500</v>
      </c>
    </row>
    <row r="1312" ht="20.25" customHeight="1">
      <c r="A1312" s="5">
        <v>1388.0</v>
      </c>
      <c r="B1312" s="6">
        <v>251224.0</v>
      </c>
      <c r="C1312" s="4"/>
      <c r="D1312" s="17" t="s">
        <v>2501</v>
      </c>
      <c r="E1312" s="8" t="str">
        <f>IFERROR(__xludf.DUMMYFUNCTION("IF(
  LEN(TRIM(D1312))=0,
  ""왼쪽에 영어 문장을 입력하세요"",
  GOOGLETRANSLATE(D1312,""en"",""ko"")
)"),"재생 모직물")</f>
        <v>재생 모직물</v>
      </c>
      <c r="F1312" s="9" t="s">
        <v>2502</v>
      </c>
    </row>
    <row r="1313" ht="20.25" customHeight="1">
      <c r="A1313" s="5">
        <v>1389.0</v>
      </c>
      <c r="B1313" s="6">
        <v>251224.0</v>
      </c>
      <c r="C1313" s="4"/>
      <c r="D1313" s="17" t="s">
        <v>899</v>
      </c>
      <c r="E1313" s="8" t="str">
        <f>IFERROR(__xludf.DUMMYFUNCTION("IF(
  LEN(TRIM(D1313))=0,
  ""왼쪽에 영어 문장을 입력하세요"",
  GOOGLETRANSLATE(D1313,""en"",""ko"")
)"),"무능한")</f>
        <v>무능한</v>
      </c>
      <c r="F1313" s="9" t="s">
        <v>2503</v>
      </c>
    </row>
    <row r="1314" ht="20.25" customHeight="1">
      <c r="A1314" s="5">
        <v>1390.0</v>
      </c>
      <c r="B1314" s="6">
        <v>251224.0</v>
      </c>
      <c r="C1314" s="4"/>
      <c r="D1314" s="17" t="s">
        <v>2504</v>
      </c>
      <c r="E1314" s="8" t="str">
        <f>IFERROR(__xludf.DUMMYFUNCTION("IF(
  LEN(TRIM(D1314))=0,
  ""왼쪽에 영어 문장을 입력하세요"",
  GOOGLETRANSLATE(D1314,""en"",""ko"")
)"),"명예교수")</f>
        <v>명예교수</v>
      </c>
      <c r="F1314" s="9" t="s">
        <v>2505</v>
      </c>
    </row>
    <row r="1315" ht="20.25" customHeight="1">
      <c r="A1315" s="5">
        <v>1391.0</v>
      </c>
      <c r="B1315" s="6">
        <v>251224.0</v>
      </c>
      <c r="C1315" s="4"/>
      <c r="D1315" s="17" t="s">
        <v>2506</v>
      </c>
      <c r="E1315" s="8" t="str">
        <f>IFERROR(__xludf.DUMMYFUNCTION("IF(
  LEN(TRIM(D1315))=0,
  ""왼쪽에 영어 문장을 입력하세요"",
  GOOGLETRANSLATE(D1315,""en"",""ko"")
)"),"서투른 솜씨")</f>
        <v>서투른 솜씨</v>
      </c>
      <c r="F1315" s="10" t="s">
        <v>2507</v>
      </c>
    </row>
    <row r="1316" ht="20.25" customHeight="1">
      <c r="A1316" s="5">
        <v>1392.0</v>
      </c>
      <c r="B1316" s="6">
        <v>251224.0</v>
      </c>
      <c r="C1316" s="4"/>
      <c r="D1316" s="17" t="s">
        <v>2508</v>
      </c>
      <c r="E1316" s="8" t="str">
        <f>IFERROR(__xludf.DUMMYFUNCTION("IF(
  LEN(TRIM(D1316))=0,
  ""왼쪽에 영어 문장을 입력하세요"",
  GOOGLETRANSLATE(D1316,""en"",""ko"")
)"),"펄쩍 뛰게 하다")</f>
        <v>펄쩍 뛰게 하다</v>
      </c>
      <c r="F1316" s="9" t="s">
        <v>2509</v>
      </c>
    </row>
    <row r="1317" ht="20.25" customHeight="1">
      <c r="A1317" s="5">
        <v>1393.0</v>
      </c>
      <c r="B1317" s="6">
        <v>251224.0</v>
      </c>
      <c r="C1317" s="4"/>
      <c r="D1317" s="17" t="s">
        <v>2510</v>
      </c>
      <c r="E1317" s="8" t="str">
        <f>IFERROR(__xludf.DUMMYFUNCTION("IF(
  LEN(TRIM(D1317))=0,
  ""왼쪽에 영어 문장을 입력하세요"",
  GOOGLETRANSLATE(D1317,""en"",""ko"")
)"),"개편")</f>
        <v>개편</v>
      </c>
      <c r="F1317" s="9" t="s">
        <v>2511</v>
      </c>
    </row>
    <row r="1318" ht="20.25" customHeight="1">
      <c r="A1318" s="5">
        <v>1394.0</v>
      </c>
      <c r="B1318" s="6">
        <v>251224.0</v>
      </c>
      <c r="C1318" s="4"/>
      <c r="D1318" s="17" t="s">
        <v>2512</v>
      </c>
      <c r="E1318" s="8" t="str">
        <f>IFERROR(__xludf.DUMMYFUNCTION("IF(
  LEN(TRIM(D1318))=0,
  ""왼쪽에 영어 문장을 입력하세요"",
  GOOGLETRANSLATE(D1318,""en"",""ko"")
)"),"기가 꺾이다")</f>
        <v>기가 꺾이다</v>
      </c>
      <c r="F1318" s="9" t="s">
        <v>2513</v>
      </c>
    </row>
    <row r="1319" ht="20.25" customHeight="1">
      <c r="A1319" s="5">
        <v>1395.0</v>
      </c>
      <c r="B1319" s="6">
        <v>251224.0</v>
      </c>
      <c r="C1319" s="4"/>
      <c r="D1319" s="17" t="s">
        <v>2514</v>
      </c>
      <c r="E1319" s="8" t="str">
        <f>IFERROR(__xludf.DUMMYFUNCTION("IF(
  LEN(TRIM(D1319))=0,
  ""왼쪽에 영어 문장을 입력하세요"",
  GOOGLETRANSLATE(D1319,""en"",""ko"")
)"),"백래시")</f>
        <v>백래시</v>
      </c>
      <c r="F1319" s="9" t="s">
        <v>2515</v>
      </c>
    </row>
    <row r="1320" ht="20.25" customHeight="1">
      <c r="A1320" s="5">
        <v>1396.0</v>
      </c>
      <c r="B1320" s="6">
        <v>251224.0</v>
      </c>
      <c r="C1320" s="4"/>
      <c r="D1320" s="17" t="s">
        <v>2516</v>
      </c>
      <c r="E1320" s="8" t="str">
        <f>IFERROR(__xludf.DUMMYFUNCTION("IF(
  LEN(TRIM(D1320))=0,
  ""왼쪽에 영어 문장을 입력하세요"",
  GOOGLETRANSLATE(D1320,""en"",""ko"")
)"),"계략")</f>
        <v>계략</v>
      </c>
      <c r="F1320" s="9" t="s">
        <v>2517</v>
      </c>
    </row>
    <row r="1321" ht="20.25" customHeight="1">
      <c r="A1321" s="5">
        <v>1397.0</v>
      </c>
      <c r="B1321" s="6">
        <v>251224.0</v>
      </c>
      <c r="C1321" s="4"/>
      <c r="D1321" s="17" t="s">
        <v>2518</v>
      </c>
      <c r="E1321" s="8" t="str">
        <f>IFERROR(__xludf.DUMMYFUNCTION("IF(
  LEN(TRIM(D1321))=0,
  ""왼쪽에 영어 문장을 입력하세요"",
  GOOGLETRANSLATE(D1321,""en"",""ko"")
)"),"로퍼")</f>
        <v>로퍼</v>
      </c>
      <c r="F1321" s="9" t="s">
        <v>2519</v>
      </c>
    </row>
    <row r="1322" ht="20.25" customHeight="1">
      <c r="A1322" s="5">
        <v>1398.0</v>
      </c>
      <c r="B1322" s="6">
        <v>251224.0</v>
      </c>
      <c r="C1322" s="4"/>
      <c r="D1322" s="17" t="s">
        <v>1089</v>
      </c>
      <c r="E1322" s="8" t="str">
        <f>IFERROR(__xludf.DUMMYFUNCTION("IF(
  LEN(TRIM(D1322))=0,
  ""왼쪽에 영어 문장을 입력하세요"",
  GOOGLETRANSLATE(D1322,""en"",""ko"")
)"),"마찰")</f>
        <v>마찰</v>
      </c>
      <c r="F1322" s="9" t="s">
        <v>2520</v>
      </c>
    </row>
    <row r="1323" ht="20.25" customHeight="1">
      <c r="A1323" s="5">
        <v>1399.0</v>
      </c>
      <c r="B1323" s="6">
        <v>251224.0</v>
      </c>
      <c r="C1323" s="4"/>
      <c r="D1323" s="17" t="s">
        <v>2521</v>
      </c>
      <c r="E1323" s="8" t="str">
        <f>IFERROR(__xludf.DUMMYFUNCTION("IF(
  LEN(TRIM(D1323))=0,
  ""왼쪽에 영어 문장을 입력하세요"",
  GOOGLETRANSLATE(D1323,""en"",""ko"")
)"),"촉매")</f>
        <v>촉매</v>
      </c>
      <c r="F1323" s="9" t="s">
        <v>2522</v>
      </c>
    </row>
    <row r="1324" ht="20.25" customHeight="1">
      <c r="A1324" s="5">
        <v>1400.0</v>
      </c>
      <c r="B1324" s="6">
        <v>251224.0</v>
      </c>
      <c r="C1324" s="4"/>
      <c r="D1324" s="17" t="s">
        <v>991</v>
      </c>
      <c r="E1324" s="8" t="str">
        <f>IFERROR(__xludf.DUMMYFUNCTION("IF(
  LEN(TRIM(D1324))=0,
  ""왼쪽에 영어 문장을 입력하세요"",
  GOOGLETRANSLATE(D1324,""en"",""ko"")
)"),"어기다")</f>
        <v>어기다</v>
      </c>
      <c r="F1324" s="9" t="s">
        <v>2523</v>
      </c>
    </row>
    <row r="1325" ht="20.25" customHeight="1">
      <c r="A1325" s="5">
        <v>1401.0</v>
      </c>
      <c r="B1325" s="6">
        <v>251224.0</v>
      </c>
      <c r="C1325" s="4"/>
      <c r="D1325" s="17" t="s">
        <v>961</v>
      </c>
      <c r="E1325" s="8" t="str">
        <f>IFERROR(__xludf.DUMMYFUNCTION("IF(
  LEN(TRIM(D1325))=0,
  ""왼쪽에 영어 문장을 입력하세요"",
  GOOGLETRANSLATE(D1325,""en"",""ko"")
)"),"확실성")</f>
        <v>확실성</v>
      </c>
      <c r="F1325" s="9" t="s">
        <v>2524</v>
      </c>
    </row>
    <row r="1326" ht="20.25" customHeight="1">
      <c r="A1326" s="5">
        <v>1402.0</v>
      </c>
      <c r="B1326" s="6">
        <v>251224.0</v>
      </c>
      <c r="C1326" s="4"/>
      <c r="D1326" s="17" t="s">
        <v>2525</v>
      </c>
      <c r="E1326" s="8" t="str">
        <f>IFERROR(__xludf.DUMMYFUNCTION("IF(
  LEN(TRIM(D1326))=0,
  ""왼쪽에 영어 문장을 입력하세요"",
  GOOGLETRANSLATE(D1326,""en"",""ko"")
)"),"욕을 하다")</f>
        <v>욕을 하다</v>
      </c>
      <c r="F1326" s="9" t="s">
        <v>2526</v>
      </c>
    </row>
    <row r="1327" ht="20.25" customHeight="1">
      <c r="A1327" s="5">
        <v>1403.0</v>
      </c>
      <c r="B1327" s="6">
        <v>251224.0</v>
      </c>
      <c r="C1327" s="4"/>
      <c r="D1327" s="17" t="s">
        <v>2527</v>
      </c>
      <c r="E1327" s="8" t="str">
        <f>IFERROR(__xludf.DUMMYFUNCTION("IF(
  LEN(TRIM(D1327))=0,
  ""왼쪽에 영어 문장을 입력하세요"",
  GOOGLETRANSLATE(D1327,""en"",""ko"")
)"),"악당")</f>
        <v>악당</v>
      </c>
      <c r="F1327" s="9" t="s">
        <v>2528</v>
      </c>
    </row>
    <row r="1328" ht="20.25" customHeight="1">
      <c r="A1328" s="5">
        <v>1404.0</v>
      </c>
      <c r="B1328" s="6">
        <v>251224.0</v>
      </c>
      <c r="C1328" s="4"/>
      <c r="D1328" s="17" t="s">
        <v>2529</v>
      </c>
      <c r="E1328" s="8" t="str">
        <f>IFERROR(__xludf.DUMMYFUNCTION("IF(
  LEN(TRIM(D1328))=0,
  ""왼쪽에 영어 문장을 입력하세요"",
  GOOGLETRANSLATE(D1328,""en"",""ko"")
)"),"언쟁")</f>
        <v>언쟁</v>
      </c>
      <c r="F1328" s="9" t="s">
        <v>2530</v>
      </c>
    </row>
    <row r="1329" ht="20.25" customHeight="1">
      <c r="A1329" s="5">
        <v>1405.0</v>
      </c>
      <c r="B1329" s="6">
        <v>251224.0</v>
      </c>
      <c r="C1329" s="4"/>
      <c r="D1329" s="17" t="s">
        <v>2531</v>
      </c>
      <c r="E1329" s="8" t="str">
        <f>IFERROR(__xludf.DUMMYFUNCTION("IF(
  LEN(TRIM(D1329))=0,
  ""왼쪽에 영어 문장을 입력하세요"",
  GOOGLETRANSLATE(D1329,""en"",""ko"")
)"),"네메시스")</f>
        <v>네메시스</v>
      </c>
      <c r="F1329" s="9" t="s">
        <v>2532</v>
      </c>
    </row>
    <row r="1330" ht="20.25" customHeight="1">
      <c r="A1330" s="5">
        <v>1406.0</v>
      </c>
      <c r="B1330" s="6">
        <v>251224.0</v>
      </c>
      <c r="C1330" s="4"/>
      <c r="D1330" s="18" t="s">
        <v>2533</v>
      </c>
      <c r="E1330" s="8" t="str">
        <f>IFERROR(__xludf.DUMMYFUNCTION("IF(
  LEN(TRIM(D1330))=0,
  ""왼쪽에 영어 문장을 입력하세요"",
  GOOGLETRANSLATE(D1330,""en"",""ko"")
)"),"다투다")</f>
        <v>다투다</v>
      </c>
      <c r="F1330" s="9" t="s">
        <v>2534</v>
      </c>
    </row>
    <row r="1331" ht="20.25" customHeight="1">
      <c r="A1331" s="5">
        <v>1407.0</v>
      </c>
      <c r="B1331" s="6">
        <v>251224.0</v>
      </c>
      <c r="C1331" s="4"/>
      <c r="D1331" s="17" t="s">
        <v>2535</v>
      </c>
      <c r="E1331" s="8" t="str">
        <f>IFERROR(__xludf.DUMMYFUNCTION("IF(
  LEN(TRIM(D1331))=0,
  ""왼쪽에 영어 문장을 입력하세요"",
  GOOGLETRANSLATE(D1331,""en"",""ko"")
)"),"폭동")</f>
        <v>폭동</v>
      </c>
      <c r="F1331" s="9" t="s">
        <v>2536</v>
      </c>
    </row>
    <row r="1332" ht="20.25" customHeight="1">
      <c r="A1332" s="5">
        <v>1408.0</v>
      </c>
      <c r="B1332" s="6">
        <v>251224.0</v>
      </c>
      <c r="C1332" s="4"/>
      <c r="D1332" s="17" t="s">
        <v>2537</v>
      </c>
      <c r="E1332" s="8" t="str">
        <f>IFERROR(__xludf.DUMMYFUNCTION("IF(
  LEN(TRIM(D1332))=0,
  ""왼쪽에 영어 문장을 입력하세요"",
  GOOGLETRANSLATE(D1332,""en"",""ko"")
)"),"스파이 활동")</f>
        <v>스파이 활동</v>
      </c>
      <c r="F1332" s="9" t="s">
        <v>2538</v>
      </c>
    </row>
    <row r="1333" ht="20.25" customHeight="1">
      <c r="A1333" s="5">
        <v>1409.0</v>
      </c>
      <c r="B1333" s="6">
        <v>251224.0</v>
      </c>
      <c r="C1333" s="4"/>
      <c r="D1333" s="17" t="s">
        <v>2539</v>
      </c>
      <c r="E1333" s="8" t="str">
        <f>IFERROR(__xludf.DUMMYFUNCTION("IF(
  LEN(TRIM(D1333))=0,
  ""왼쪽에 영어 문장을 입력하세요"",
  GOOGLETRANSLATE(D1333,""en"",""ko"")
)"),"스파링")</f>
        <v>스파링</v>
      </c>
      <c r="F1333" s="9" t="s">
        <v>2540</v>
      </c>
    </row>
    <row r="1334" ht="20.25" customHeight="1">
      <c r="A1334" s="5">
        <v>1410.0</v>
      </c>
      <c r="B1334" s="6">
        <v>251224.0</v>
      </c>
      <c r="C1334" s="4"/>
      <c r="D1334" s="17" t="s">
        <v>2541</v>
      </c>
      <c r="E1334" s="8" t="str">
        <f>IFERROR(__xludf.DUMMYFUNCTION("IF(
  LEN(TRIM(D1334))=0,
  ""왼쪽에 영어 문장을 입력하세요"",
  GOOGLETRANSLATE(D1334,""en"",""ko"")
)"),"주의")</f>
        <v>주의</v>
      </c>
      <c r="F1334" s="9" t="s">
        <v>2542</v>
      </c>
    </row>
    <row r="1335" ht="20.25" customHeight="1">
      <c r="A1335" s="5">
        <v>1411.0</v>
      </c>
      <c r="B1335" s="6">
        <v>251224.0</v>
      </c>
      <c r="C1335" s="4"/>
      <c r="D1335" s="17" t="s">
        <v>2543</v>
      </c>
      <c r="E1335" s="8" t="str">
        <f>IFERROR(__xludf.DUMMYFUNCTION("IF(
  LEN(TRIM(D1335))=0,
  ""왼쪽에 영어 문장을 입력하세요"",
  GOOGLETRANSLATE(D1335,""en"",""ko"")
)"),"간청하다")</f>
        <v>간청하다</v>
      </c>
      <c r="F1335" s="9" t="s">
        <v>2544</v>
      </c>
    </row>
    <row r="1336" ht="20.25" customHeight="1">
      <c r="A1336" s="5">
        <v>1412.0</v>
      </c>
      <c r="B1336" s="6">
        <v>251224.0</v>
      </c>
      <c r="C1336" s="4"/>
      <c r="D1336" s="17" t="s">
        <v>2445</v>
      </c>
      <c r="E1336" s="8" t="str">
        <f>IFERROR(__xludf.DUMMYFUNCTION("IF(
  LEN(TRIM(D1336))=0,
  ""왼쪽에 영어 문장을 입력하세요"",
  GOOGLETRANSLATE(D1336,""en"",""ko"")
)"),"구제")</f>
        <v>구제</v>
      </c>
      <c r="F1336" s="9" t="s">
        <v>2545</v>
      </c>
    </row>
    <row r="1337" ht="20.25" customHeight="1">
      <c r="A1337" s="5">
        <v>1413.0</v>
      </c>
      <c r="B1337" s="6">
        <v>251224.0</v>
      </c>
      <c r="C1337" s="4"/>
      <c r="D1337" s="17" t="s">
        <v>2546</v>
      </c>
      <c r="E1337" s="8" t="str">
        <f>IFERROR(__xludf.DUMMYFUNCTION("IF(
  LEN(TRIM(D1337))=0,
  ""왼쪽에 영어 문장을 입력하세요"",
  GOOGLETRANSLATE(D1337,""en"",""ko"")
)"),"혐오스러운")</f>
        <v>혐오스러운</v>
      </c>
      <c r="F1337" s="9" t="s">
        <v>2547</v>
      </c>
    </row>
    <row r="1338" ht="20.25" customHeight="1">
      <c r="A1338" s="5">
        <v>1414.0</v>
      </c>
      <c r="B1338" s="6">
        <v>251224.0</v>
      </c>
      <c r="C1338" s="4"/>
      <c r="D1338" s="17" t="s">
        <v>2548</v>
      </c>
      <c r="E1338" s="8" t="str">
        <f>IFERROR(__xludf.DUMMYFUNCTION("IF(
  LEN(TRIM(D1338))=0,
  ""왼쪽에 영어 문장을 입력하세요"",
  GOOGLETRANSLATE(D1338,""en"",""ko"")
)"),"휴전")</f>
        <v>휴전</v>
      </c>
      <c r="F1338" s="9" t="s">
        <v>2549</v>
      </c>
    </row>
    <row r="1339" ht="20.25" customHeight="1">
      <c r="A1339" s="5">
        <v>1415.0</v>
      </c>
      <c r="B1339" s="6">
        <v>251224.0</v>
      </c>
      <c r="C1339" s="4"/>
      <c r="D1339" s="17" t="s">
        <v>2550</v>
      </c>
      <c r="E1339" s="8" t="str">
        <f>IFERROR(__xludf.DUMMYFUNCTION("IF(
  LEN(TRIM(D1339))=0,
  ""왼쪽에 영어 문장을 입력하세요"",
  GOOGLETRANSLATE(D1339,""en"",""ko"")
)"),"배수구")</f>
        <v>배수구</v>
      </c>
      <c r="F1339" s="9" t="s">
        <v>2551</v>
      </c>
    </row>
    <row r="1340" ht="20.25" customHeight="1">
      <c r="A1340" s="5">
        <v>1416.0</v>
      </c>
      <c r="B1340" s="6">
        <v>251224.0</v>
      </c>
      <c r="C1340" s="4"/>
      <c r="D1340" s="17" t="s">
        <v>2552</v>
      </c>
      <c r="E1340" s="8" t="str">
        <f>IFERROR(__xludf.DUMMYFUNCTION("IF(
  LEN(TRIM(D1340))=0,
  ""왼쪽에 영어 문장을 입력하세요"",
  GOOGLETRANSLATE(D1340,""en"",""ko"")
)"),"수의사")</f>
        <v>수의사</v>
      </c>
      <c r="F1340" s="9" t="s">
        <v>2553</v>
      </c>
    </row>
    <row r="1341" ht="20.25" customHeight="1">
      <c r="A1341" s="5">
        <v>1417.0</v>
      </c>
      <c r="B1341" s="6">
        <v>251224.0</v>
      </c>
      <c r="C1341" s="4"/>
      <c r="D1341" s="17" t="s">
        <v>2554</v>
      </c>
      <c r="E1341" s="8" t="str">
        <f>IFERROR(__xludf.DUMMYFUNCTION("IF(
  LEN(TRIM(D1341))=0,
  ""왼쪽에 영어 문장을 입력하세요"",
  GOOGLETRANSLATE(D1341,""en"",""ko"")
)"),"속눈썹")</f>
        <v>속눈썹</v>
      </c>
      <c r="F1341" s="9" t="s">
        <v>2555</v>
      </c>
    </row>
    <row r="1342" ht="20.25" customHeight="1">
      <c r="A1342" s="5">
        <v>1418.0</v>
      </c>
      <c r="B1342" s="6">
        <v>251224.0</v>
      </c>
      <c r="C1342" s="4"/>
      <c r="D1342" s="17" t="s">
        <v>2497</v>
      </c>
      <c r="E1342" s="8" t="str">
        <f>IFERROR(__xludf.DUMMYFUNCTION("IF(
  LEN(TRIM(D1342))=0,
  ""왼쪽에 영어 문장을 입력하세요"",
  GOOGLETRANSLATE(D1342,""en"",""ko"")
)"),"견책")</f>
        <v>견책</v>
      </c>
      <c r="F1342" s="9" t="s">
        <v>2556</v>
      </c>
    </row>
    <row r="1343" ht="20.25" customHeight="1">
      <c r="A1343" s="5">
        <v>1419.0</v>
      </c>
      <c r="B1343" s="6">
        <v>251224.0</v>
      </c>
      <c r="C1343" s="4"/>
      <c r="D1343" s="17" t="s">
        <v>2557</v>
      </c>
      <c r="E1343" s="8" t="str">
        <f>IFERROR(__xludf.DUMMYFUNCTION("IF(
  LEN(TRIM(D1343))=0,
  ""왼쪽에 영어 문장을 입력하세요"",
  GOOGLETRANSLATE(D1343,""en"",""ko"")
)"),"멀")</f>
        <v>멀</v>
      </c>
      <c r="F1343" s="9" t="s">
        <v>2558</v>
      </c>
    </row>
    <row r="1344" ht="20.25" customHeight="1">
      <c r="A1344" s="5">
        <v>1420.0</v>
      </c>
      <c r="B1344" s="6">
        <v>251224.0</v>
      </c>
      <c r="C1344" s="4"/>
      <c r="D1344" s="17" t="s">
        <v>2559</v>
      </c>
      <c r="E1344" s="8" t="str">
        <f>IFERROR(__xludf.DUMMYFUNCTION("IF(
  LEN(TRIM(D1344))=0,
  ""왼쪽에 영어 문장을 입력하세요"",
  GOOGLETRANSLATE(D1344,""en"",""ko"")
)"),"웅장한")</f>
        <v>웅장한</v>
      </c>
      <c r="F1344" s="9" t="s">
        <v>2560</v>
      </c>
    </row>
    <row r="1345" ht="20.25" customHeight="1">
      <c r="A1345" s="5">
        <v>1421.0</v>
      </c>
      <c r="B1345" s="6">
        <v>251224.0</v>
      </c>
      <c r="C1345" s="4"/>
      <c r="D1345" s="17" t="s">
        <v>2561</v>
      </c>
      <c r="E1345" s="8" t="str">
        <f>IFERROR(__xludf.DUMMYFUNCTION("IF(
  LEN(TRIM(D1345))=0,
  ""왼쪽에 영어 문장을 입력하세요"",
  GOOGLETRANSLATE(D1345,""en"",""ko"")
)"),"억울함")</f>
        <v>억울함</v>
      </c>
      <c r="F1345" s="9" t="s">
        <v>2562</v>
      </c>
    </row>
    <row r="1346" ht="20.25" customHeight="1">
      <c r="A1346" s="5">
        <v>1422.0</v>
      </c>
      <c r="B1346" s="6">
        <v>251224.0</v>
      </c>
      <c r="C1346" s="4"/>
      <c r="D1346" s="17" t="s">
        <v>2563</v>
      </c>
      <c r="E1346" s="8" t="str">
        <f>IFERROR(__xludf.DUMMYFUNCTION("IF(
  LEN(TRIM(D1346))=0,
  ""왼쪽에 영어 문장을 입력하세요"",
  GOOGLETRANSLATE(D1346,""en"",""ko"")
)"),"날뛰다")</f>
        <v>날뛰다</v>
      </c>
      <c r="F1346" s="9" t="s">
        <v>2564</v>
      </c>
    </row>
    <row r="1347" ht="20.25" customHeight="1">
      <c r="A1347" s="5">
        <v>1423.0</v>
      </c>
      <c r="B1347" s="6">
        <v>251224.0</v>
      </c>
      <c r="C1347" s="4"/>
      <c r="D1347" s="17" t="s">
        <v>2565</v>
      </c>
      <c r="E1347" s="8" t="str">
        <f>IFERROR(__xludf.DUMMYFUNCTION("IF(
  LEN(TRIM(D1347))=0,
  ""왼쪽에 영어 문장을 입력하세요"",
  GOOGLETRANSLATE(D1347,""en"",""ko"")
)"),"협박")</f>
        <v>협박</v>
      </c>
      <c r="F1347" s="9" t="s">
        <v>2566</v>
      </c>
    </row>
    <row r="1348" ht="20.25" customHeight="1">
      <c r="A1348" s="5">
        <v>1424.0</v>
      </c>
      <c r="B1348" s="6">
        <v>251224.0</v>
      </c>
      <c r="C1348" s="4"/>
      <c r="D1348" s="17" t="s">
        <v>2567</v>
      </c>
      <c r="E1348" s="8" t="str">
        <f>IFERROR(__xludf.DUMMYFUNCTION("IF(
  LEN(TRIM(D1348))=0,
  ""왼쪽에 영어 문장을 입력하세요"",
  GOOGLETRANSLATE(D1348,""en"",""ko"")
)"),"탐식하다")</f>
        <v>탐식하다</v>
      </c>
      <c r="F1348" s="9" t="s">
        <v>2568</v>
      </c>
    </row>
    <row r="1349" ht="20.25" customHeight="1">
      <c r="A1349" s="5">
        <v>1425.0</v>
      </c>
      <c r="B1349" s="6">
        <v>251224.0</v>
      </c>
      <c r="C1349" s="4"/>
      <c r="D1349" s="17" t="s">
        <v>2569</v>
      </c>
      <c r="E1349" s="8" t="str">
        <f>IFERROR(__xludf.DUMMYFUNCTION("IF(
  LEN(TRIM(D1349))=0,
  ""왼쪽에 영어 문장을 입력하세요"",
  GOOGLETRANSLATE(D1349,""en"",""ko"")
)"),"눈엣가시")</f>
        <v>눈엣가시</v>
      </c>
      <c r="F1349" s="9" t="s">
        <v>2570</v>
      </c>
    </row>
    <row r="1350" ht="20.25" customHeight="1">
      <c r="A1350" s="5">
        <v>1426.0</v>
      </c>
      <c r="B1350" s="6">
        <v>251224.0</v>
      </c>
      <c r="C1350" s="4"/>
      <c r="D1350" s="17" t="s">
        <v>2571</v>
      </c>
      <c r="E1350" s="8" t="str">
        <f>IFERROR(__xludf.DUMMYFUNCTION("IF(
  LEN(TRIM(D1350))=0,
  ""왼쪽에 영어 문장을 입력하세요"",
  GOOGLETRANSLATE(D1350,""en"",""ko"")
)"),"동굴")</f>
        <v>동굴</v>
      </c>
      <c r="F1350" s="9" t="s">
        <v>2572</v>
      </c>
    </row>
    <row r="1351" ht="20.25" customHeight="1">
      <c r="A1351" s="5">
        <v>1427.0</v>
      </c>
      <c r="B1351" s="6">
        <v>251224.0</v>
      </c>
      <c r="C1351" s="4"/>
      <c r="D1351" s="17" t="s">
        <v>2410</v>
      </c>
      <c r="E1351" s="8" t="str">
        <f>IFERROR(__xludf.DUMMYFUNCTION("IF(
  LEN(TRIM(D1351))=0,
  ""왼쪽에 영어 문장을 입력하세요"",
  GOOGLETRANSLATE(D1351,""en"",""ko"")
)"),"부진한")</f>
        <v>부진한</v>
      </c>
      <c r="F1351" s="9" t="s">
        <v>2573</v>
      </c>
    </row>
    <row r="1352" ht="20.25" customHeight="1">
      <c r="A1352" s="5">
        <v>1428.0</v>
      </c>
      <c r="B1352" s="6">
        <v>251224.0</v>
      </c>
      <c r="C1352" s="4"/>
      <c r="D1352" s="17" t="s">
        <v>2416</v>
      </c>
      <c r="E1352" s="8" t="str">
        <f>IFERROR(__xludf.DUMMYFUNCTION("IF(
  LEN(TRIM(D1352))=0,
  ""왼쪽에 영어 문장을 입력하세요"",
  GOOGLETRANSLATE(D1352,""en"",""ko"")
)"),"때늦은")</f>
        <v>때늦은</v>
      </c>
      <c r="F1352" s="9" t="s">
        <v>2574</v>
      </c>
    </row>
    <row r="1353" ht="20.25" customHeight="1">
      <c r="A1353" s="5">
        <v>1429.0</v>
      </c>
      <c r="B1353" s="6">
        <v>251224.0</v>
      </c>
      <c r="C1353" s="4"/>
      <c r="D1353" s="17" t="s">
        <v>2575</v>
      </c>
      <c r="E1353" s="8" t="str">
        <f>IFERROR(__xludf.DUMMYFUNCTION("IF(
  LEN(TRIM(D1353))=0,
  ""왼쪽에 영어 문장을 입력하세요"",
  GOOGLETRANSLATE(D1353,""en"",""ko"")
)"),"미늘")</f>
        <v>미늘</v>
      </c>
      <c r="F1353" s="9" t="s">
        <v>2576</v>
      </c>
    </row>
    <row r="1354" ht="20.25" customHeight="1">
      <c r="A1354" s="5">
        <v>1430.0</v>
      </c>
      <c r="B1354" s="6">
        <v>251224.0</v>
      </c>
      <c r="C1354" s="4"/>
      <c r="D1354" s="17" t="s">
        <v>2577</v>
      </c>
      <c r="E1354" s="8" t="str">
        <f>IFERROR(__xludf.DUMMYFUNCTION("IF(
  LEN(TRIM(D1354))=0,
  ""왼쪽에 영어 문장을 입력하세요"",
  GOOGLETRANSLATE(D1354,""en"",""ko"")
)"),"줄기")</f>
        <v>줄기</v>
      </c>
      <c r="F1354" s="9" t="s">
        <v>2578</v>
      </c>
    </row>
    <row r="1355" ht="20.25" customHeight="1">
      <c r="A1355" s="5">
        <v>1431.0</v>
      </c>
      <c r="B1355" s="6">
        <v>251224.0</v>
      </c>
      <c r="C1355" s="4"/>
      <c r="D1355" s="17" t="s">
        <v>2579</v>
      </c>
      <c r="E1355" s="8" t="str">
        <f>IFERROR(__xludf.DUMMYFUNCTION("IF(
  LEN(TRIM(D1355))=0,
  ""왼쪽에 영어 문장을 입력하세요"",
  GOOGLETRANSLATE(D1355,""en"",""ko"")
)"),"사악한")</f>
        <v>사악한</v>
      </c>
      <c r="F1355" s="9" t="s">
        <v>2580</v>
      </c>
    </row>
    <row r="1356" ht="20.25" customHeight="1">
      <c r="A1356" s="5">
        <v>1432.0</v>
      </c>
      <c r="B1356" s="6">
        <v>251224.0</v>
      </c>
      <c r="C1356" s="4"/>
      <c r="D1356" s="17" t="s">
        <v>2581</v>
      </c>
      <c r="E1356" s="8" t="str">
        <f>IFERROR(__xludf.DUMMYFUNCTION("IF(
  LEN(TRIM(D1356))=0,
  ""왼쪽에 영어 문장을 입력하세요"",
  GOOGLETRANSLATE(D1356,""en"",""ko"")
)"),"조금씩 잘라 팔다")</f>
        <v>조금씩 잘라 팔다</v>
      </c>
      <c r="F1356" s="9" t="s">
        <v>2582</v>
      </c>
    </row>
    <row r="1357" ht="20.25" customHeight="1">
      <c r="A1357" s="5">
        <v>1433.0</v>
      </c>
      <c r="B1357" s="6">
        <v>251224.0</v>
      </c>
      <c r="C1357" s="4"/>
      <c r="D1357" s="17" t="s">
        <v>2583</v>
      </c>
      <c r="E1357" s="8" t="str">
        <f>IFERROR(__xludf.DUMMYFUNCTION("IF(
  LEN(TRIM(D1357))=0,
  ""왼쪽에 영어 문장을 입력하세요"",
  GOOGLETRANSLATE(D1357,""en"",""ko"")
)"),"부드러운")</f>
        <v>부드러운</v>
      </c>
      <c r="F1357" s="9" t="s">
        <v>2584</v>
      </c>
    </row>
    <row r="1358" ht="20.25" customHeight="1">
      <c r="A1358" s="5">
        <v>1434.0</v>
      </c>
      <c r="B1358" s="6">
        <v>251224.0</v>
      </c>
      <c r="C1358" s="4"/>
      <c r="D1358" s="17" t="s">
        <v>2389</v>
      </c>
      <c r="E1358" s="8" t="str">
        <f>IFERROR(__xludf.DUMMYFUNCTION("IF(
  LEN(TRIM(D1358))=0,
  ""왼쪽에 영어 문장을 입력하세요"",
  GOOGLETRANSLATE(D1358,""en"",""ko"")
)"),"와미")</f>
        <v>와미</v>
      </c>
      <c r="F1358" s="9" t="s">
        <v>2585</v>
      </c>
    </row>
    <row r="1359" ht="20.25" customHeight="1">
      <c r="A1359" s="5">
        <v>1435.0</v>
      </c>
      <c r="B1359" s="6">
        <v>251224.0</v>
      </c>
      <c r="C1359" s="4"/>
      <c r="D1359" s="17" t="s">
        <v>2586</v>
      </c>
      <c r="E1359" s="8" t="str">
        <f>IFERROR(__xludf.DUMMYFUNCTION("IF(
  LEN(TRIM(D1359))=0,
  ""왼쪽에 영어 문장을 입력하세요"",
  GOOGLETRANSLATE(D1359,""en"",""ko"")
)"),"보풀")</f>
        <v>보풀</v>
      </c>
      <c r="F1359" s="9" t="s">
        <v>2587</v>
      </c>
    </row>
    <row r="1360" ht="20.25" customHeight="1">
      <c r="A1360" s="5">
        <v>1436.0</v>
      </c>
      <c r="B1360" s="6">
        <v>251224.0</v>
      </c>
      <c r="C1360" s="4"/>
      <c r="D1360" s="17" t="s">
        <v>2588</v>
      </c>
      <c r="E1360" s="8" t="str">
        <f>IFERROR(__xludf.DUMMYFUNCTION("IF(
  LEN(TRIM(D1360))=0,
  ""왼쪽에 영어 문장을 입력하세요"",
  GOOGLETRANSLATE(D1360,""en"",""ko"")
)"),"팔팔한")</f>
        <v>팔팔한</v>
      </c>
      <c r="F1360" s="9" t="s">
        <v>2589</v>
      </c>
    </row>
    <row r="1361" ht="20.25" customHeight="1">
      <c r="A1361" s="5">
        <v>1437.0</v>
      </c>
      <c r="B1361" s="6">
        <v>251224.0</v>
      </c>
      <c r="C1361" s="4"/>
      <c r="D1361" s="17" t="s">
        <v>1450</v>
      </c>
      <c r="E1361" s="8" t="str">
        <f>IFERROR(__xludf.DUMMYFUNCTION("IF(
  LEN(TRIM(D1361))=0,
  ""왼쪽에 영어 문장을 입력하세요"",
  GOOGLETRANSLATE(D1361,""en"",""ko"")
)"),"무거운")</f>
        <v>무거운</v>
      </c>
      <c r="F1361" s="9" t="s">
        <v>2590</v>
      </c>
    </row>
    <row r="1362" ht="20.25" customHeight="1">
      <c r="A1362" s="5">
        <v>1438.0</v>
      </c>
      <c r="B1362" s="6">
        <v>251224.0</v>
      </c>
      <c r="C1362" s="4"/>
      <c r="D1362" s="17" t="s">
        <v>2591</v>
      </c>
      <c r="E1362" s="8" t="str">
        <f>IFERROR(__xludf.DUMMYFUNCTION("IF(
  LEN(TRIM(D1362))=0,
  ""왼쪽에 영어 문장을 입력하세요"",
  GOOGLETRANSLATE(D1362,""en"",""ko"")
)"),"과시")</f>
        <v>과시</v>
      </c>
      <c r="F1362" s="9" t="s">
        <v>2592</v>
      </c>
    </row>
    <row r="1363" ht="20.25" customHeight="1">
      <c r="A1363" s="5">
        <v>1439.0</v>
      </c>
      <c r="B1363" s="6">
        <v>251224.0</v>
      </c>
      <c r="C1363" s="4"/>
      <c r="D1363" s="17" t="s">
        <v>2593</v>
      </c>
      <c r="E1363" s="8" t="str">
        <f>IFERROR(__xludf.DUMMYFUNCTION("IF(
  LEN(TRIM(D1363))=0,
  ""왼쪽에 영어 문장을 입력하세요"",
  GOOGLETRANSLATE(D1363,""en"",""ko"")
)"),"쌓다")</f>
        <v>쌓다</v>
      </c>
      <c r="F1363" s="9" t="s">
        <v>2594</v>
      </c>
    </row>
    <row r="1364" ht="20.25" customHeight="1">
      <c r="A1364" s="5">
        <v>1440.0</v>
      </c>
      <c r="B1364" s="6">
        <v>251224.0</v>
      </c>
      <c r="C1364" s="4"/>
      <c r="D1364" s="17" t="s">
        <v>2595</v>
      </c>
      <c r="E1364" s="8" t="str">
        <f>IFERROR(__xludf.DUMMYFUNCTION("IF(
  LEN(TRIM(D1364))=0,
  ""왼쪽에 영어 문장을 입력하세요"",
  GOOGLETRANSLATE(D1364,""en"",""ko"")
)"),"시험관내")</f>
        <v>시험관내</v>
      </c>
      <c r="F1364" s="9" t="s">
        <v>2596</v>
      </c>
    </row>
    <row r="1365" ht="20.25" customHeight="1">
      <c r="A1365" s="5">
        <v>1441.0</v>
      </c>
      <c r="B1365" s="6">
        <v>251224.0</v>
      </c>
      <c r="C1365" s="4"/>
      <c r="D1365" s="17" t="s">
        <v>1085</v>
      </c>
      <c r="E1365" s="8" t="str">
        <f>IFERROR(__xludf.DUMMYFUNCTION("IF(
  LEN(TRIM(D1365))=0,
  ""왼쪽에 영어 문장을 입력하세요"",
  GOOGLETRANSLATE(D1365,""en"",""ko"")
)"),"받치다")</f>
        <v>받치다</v>
      </c>
      <c r="F1365" s="9" t="s">
        <v>2597</v>
      </c>
    </row>
    <row r="1366" ht="20.25" customHeight="1">
      <c r="A1366" s="5">
        <v>1442.0</v>
      </c>
      <c r="B1366" s="6">
        <v>251224.0</v>
      </c>
      <c r="C1366" s="4"/>
      <c r="D1366" s="17" t="s">
        <v>2598</v>
      </c>
      <c r="E1366" s="8" t="str">
        <f>IFERROR(__xludf.DUMMYFUNCTION("IF(
  LEN(TRIM(D1366))=0,
  ""왼쪽에 영어 문장을 입력하세요"",
  GOOGLETRANSLATE(D1366,""en"",""ko"")
)"),"피하다")</f>
        <v>피하다</v>
      </c>
      <c r="F1366" s="9" t="s">
        <v>2599</v>
      </c>
    </row>
    <row r="1367" ht="20.25" customHeight="1">
      <c r="A1367" s="5">
        <v>1443.0</v>
      </c>
      <c r="B1367" s="6">
        <v>251224.0</v>
      </c>
      <c r="C1367" s="4"/>
      <c r="D1367" s="17" t="s">
        <v>2600</v>
      </c>
      <c r="E1367" s="8" t="str">
        <f>IFERROR(__xludf.DUMMYFUNCTION("IF(
  LEN(TRIM(D1367))=0,
  ""왼쪽에 영어 문장을 입력하세요"",
  GOOGLETRANSLATE(D1367,""en"",""ko"")
)"),"중재")</f>
        <v>중재</v>
      </c>
      <c r="F1367" s="9" t="s">
        <v>2601</v>
      </c>
    </row>
    <row r="1368" ht="20.25" customHeight="1">
      <c r="A1368" s="5">
        <v>1444.0</v>
      </c>
      <c r="B1368" s="6">
        <v>251224.0</v>
      </c>
      <c r="C1368" s="4"/>
      <c r="D1368" s="17" t="s">
        <v>2602</v>
      </c>
      <c r="E1368" s="8" t="str">
        <f>IFERROR(__xludf.DUMMYFUNCTION("IF(
  LEN(TRIM(D1368))=0,
  ""왼쪽에 영어 문장을 입력하세요"",
  GOOGLETRANSLATE(D1368,""en"",""ko"")
)"),"일조")</f>
        <v>일조</v>
      </c>
      <c r="F1368" s="9" t="s">
        <v>2603</v>
      </c>
    </row>
    <row r="1369" ht="20.25" customHeight="1">
      <c r="A1369" s="5">
        <v>1445.0</v>
      </c>
      <c r="B1369" s="6">
        <v>251224.0</v>
      </c>
      <c r="C1369" s="4"/>
      <c r="D1369" s="17" t="s">
        <v>2604</v>
      </c>
      <c r="E1369" s="8" t="str">
        <f>IFERROR(__xludf.DUMMYFUNCTION("IF(
  LEN(TRIM(D1369))=0,
  ""왼쪽에 영어 문장을 입력하세요"",
  GOOGLETRANSLATE(D1369,""en"",""ko"")
)"),"명칭을 붙이다")</f>
        <v>명칭을 붙이다</v>
      </c>
      <c r="F1369" s="9" t="s">
        <v>2605</v>
      </c>
    </row>
    <row r="1370" ht="20.25" customHeight="1">
      <c r="A1370" s="5">
        <v>1446.0</v>
      </c>
      <c r="B1370" s="6">
        <v>251224.0</v>
      </c>
      <c r="C1370" s="4"/>
      <c r="D1370" s="17" t="s">
        <v>2606</v>
      </c>
      <c r="E1370" s="8" t="str">
        <f>IFERROR(__xludf.DUMMYFUNCTION("IF(
  LEN(TRIM(D1370))=0,
  ""왼쪽에 영어 문장을 입력하세요"",
  GOOGLETRANSLATE(D1370,""en"",""ko"")
)"),"틀니")</f>
        <v>틀니</v>
      </c>
      <c r="F1370" s="9" t="s">
        <v>2607</v>
      </c>
    </row>
    <row r="1371" ht="20.25" customHeight="1">
      <c r="A1371" s="5">
        <v>1447.0</v>
      </c>
      <c r="B1371" s="6">
        <v>251224.0</v>
      </c>
      <c r="C1371" s="4"/>
      <c r="D1371" s="17" t="s">
        <v>2608</v>
      </c>
      <c r="E1371" s="8" t="str">
        <f>IFERROR(__xludf.DUMMYFUNCTION("IF(
  LEN(TRIM(D1371))=0,
  ""왼쪽에 영어 문장을 입력하세요"",
  GOOGLETRANSLATE(D1371,""en"",""ko"")
)"),"스냅")</f>
        <v>스냅</v>
      </c>
      <c r="F1371" s="9" t="s">
        <v>2609</v>
      </c>
    </row>
    <row r="1372" ht="20.25" customHeight="1">
      <c r="A1372" s="5">
        <v>1448.0</v>
      </c>
      <c r="B1372" s="6">
        <v>251224.0</v>
      </c>
      <c r="C1372" s="4"/>
      <c r="D1372" s="17" t="s">
        <v>2610</v>
      </c>
      <c r="E1372" s="8" t="str">
        <f>IFERROR(__xludf.DUMMYFUNCTION("IF(
  LEN(TRIM(D1372))=0,
  ""왼쪽에 영어 문장을 입력하세요"",
  GOOGLETRANSLATE(D1372,""en"",""ko"")
)"),"축소하다")</f>
        <v>축소하다</v>
      </c>
      <c r="F1372" s="9" t="s">
        <v>2611</v>
      </c>
    </row>
    <row r="1373" ht="20.25" customHeight="1">
      <c r="A1373" s="5">
        <v>1449.0</v>
      </c>
      <c r="B1373" s="6">
        <v>251224.0</v>
      </c>
      <c r="C1373" s="4"/>
      <c r="D1373" s="17" t="s">
        <v>2612</v>
      </c>
      <c r="E1373" s="8" t="str">
        <f>IFERROR(__xludf.DUMMYFUNCTION("IF(
  LEN(TRIM(D1373))=0,
  ""왼쪽에 영어 문장을 입력하세요"",
  GOOGLETRANSLATE(D1373,""en"",""ko"")
)"),"비좁은")</f>
        <v>비좁은</v>
      </c>
      <c r="F1373" s="9" t="s">
        <v>2613</v>
      </c>
    </row>
    <row r="1374" ht="20.25" customHeight="1">
      <c r="A1374" s="5">
        <v>1450.0</v>
      </c>
      <c r="B1374" s="6">
        <v>251224.0</v>
      </c>
      <c r="C1374" s="4"/>
      <c r="D1374" s="17" t="s">
        <v>2614</v>
      </c>
      <c r="E1374" s="8" t="str">
        <f>IFERROR(__xludf.DUMMYFUNCTION("IF(
  LEN(TRIM(D1374))=0,
  ""왼쪽에 영어 문장을 입력하세요"",
  GOOGLETRANSLATE(D1374,""en"",""ko"")
)"),"막다")</f>
        <v>막다</v>
      </c>
      <c r="F1374" s="9" t="s">
        <v>2615</v>
      </c>
    </row>
    <row r="1375" ht="20.25" customHeight="1">
      <c r="A1375" s="5">
        <v>1451.0</v>
      </c>
      <c r="B1375" s="6">
        <v>251224.0</v>
      </c>
      <c r="C1375" s="4"/>
      <c r="D1375" s="17" t="s">
        <v>2616</v>
      </c>
      <c r="E1375" s="8" t="str">
        <f>IFERROR(__xludf.DUMMYFUNCTION("IF(
  LEN(TRIM(D1375))=0,
  ""왼쪽에 영어 문장을 입력하세요"",
  GOOGLETRANSLATE(D1375,""en"",""ko"")
)"),"스캠 ")</f>
        <v>스캠 </v>
      </c>
      <c r="F1375" s="9" t="s">
        <v>2617</v>
      </c>
    </row>
    <row r="1376" ht="20.25" customHeight="1">
      <c r="A1376" s="5">
        <v>1452.0</v>
      </c>
      <c r="B1376" s="6">
        <v>251224.0</v>
      </c>
      <c r="C1376" s="4"/>
      <c r="D1376" s="17" t="s">
        <v>2618</v>
      </c>
      <c r="E1376" s="8" t="str">
        <f>IFERROR(__xludf.DUMMYFUNCTION("IF(
  LEN(TRIM(D1376))=0,
  ""왼쪽에 영어 문장을 입력하세요"",
  GOOGLETRANSLATE(D1376,""en"",""ko"")
)"),"예절 바름")</f>
        <v>예절 바름</v>
      </c>
      <c r="F1376" s="9" t="s">
        <v>2619</v>
      </c>
    </row>
    <row r="1377" ht="20.25" customHeight="1">
      <c r="A1377" s="5">
        <v>1453.0</v>
      </c>
      <c r="B1377" s="6">
        <v>251224.0</v>
      </c>
      <c r="C1377" s="4"/>
      <c r="D1377" s="17" t="s">
        <v>2620</v>
      </c>
      <c r="E1377" s="8" t="str">
        <f>IFERROR(__xludf.DUMMYFUNCTION("IF(
  LEN(TRIM(D1377))=0,
  ""왼쪽에 영어 문장을 입력하세요"",
  GOOGLETRANSLATE(D1377,""en"",""ko"")
)"),"분산")</f>
        <v>분산</v>
      </c>
      <c r="F1377" s="9" t="s">
        <v>2621</v>
      </c>
    </row>
    <row r="1378" ht="20.25" customHeight="1">
      <c r="A1378" s="5">
        <v>1454.0</v>
      </c>
      <c r="B1378" s="6">
        <v>251224.0</v>
      </c>
      <c r="C1378" s="4"/>
      <c r="D1378" s="17" t="s">
        <v>2622</v>
      </c>
      <c r="E1378" s="8" t="str">
        <f>IFERROR(__xludf.DUMMYFUNCTION("IF(
  LEN(TRIM(D1378))=0,
  ""왼쪽에 영어 문장을 입력하세요"",
  GOOGLETRANSLATE(D1378,""en"",""ko"")
)"),"전략")</f>
        <v>전략</v>
      </c>
      <c r="F1378" s="9" t="s">
        <v>2517</v>
      </c>
    </row>
    <row r="1379" ht="20.25" customHeight="1">
      <c r="A1379" s="5">
        <v>1455.0</v>
      </c>
      <c r="B1379" s="6">
        <v>251224.0</v>
      </c>
      <c r="C1379" s="4"/>
      <c r="D1379" s="17" t="s">
        <v>2623</v>
      </c>
      <c r="E1379" s="8" t="str">
        <f>IFERROR(__xludf.DUMMYFUNCTION("IF(
  LEN(TRIM(D1379))=0,
  ""왼쪽에 영어 문장을 입력하세요"",
  GOOGLETRANSLATE(D1379,""en"",""ko"")
)"),"풍부한")</f>
        <v>풍부한</v>
      </c>
      <c r="F1379" s="9" t="s">
        <v>2624</v>
      </c>
    </row>
    <row r="1380" ht="20.25" customHeight="1">
      <c r="A1380" s="5">
        <v>1456.0</v>
      </c>
      <c r="B1380" s="6">
        <v>251224.0</v>
      </c>
      <c r="C1380" s="4"/>
      <c r="D1380" s="17" t="s">
        <v>2625</v>
      </c>
      <c r="E1380" s="8" t="str">
        <f>IFERROR(__xludf.DUMMYFUNCTION("IF(
  LEN(TRIM(D1380))=0,
  ""왼쪽에 영어 문장을 입력하세요"",
  GOOGLETRANSLATE(D1380,""en"",""ko"")
)"),"지구")</f>
        <v>지구</v>
      </c>
      <c r="F1380" s="9" t="s">
        <v>2626</v>
      </c>
    </row>
    <row r="1381" ht="20.25" customHeight="1">
      <c r="A1381" s="5">
        <v>1457.0</v>
      </c>
      <c r="B1381" s="6">
        <v>251224.0</v>
      </c>
      <c r="C1381" s="4"/>
      <c r="D1381" s="17" t="s">
        <v>2627</v>
      </c>
      <c r="E1381" s="8" t="str">
        <f>IFERROR(__xludf.DUMMYFUNCTION("IF(
  LEN(TRIM(D1381))=0,
  ""왼쪽에 영어 문장을 입력하세요"",
  GOOGLETRANSLATE(D1381,""en"",""ko"")
)"),"얕보다")</f>
        <v>얕보다</v>
      </c>
      <c r="F1381" s="9" t="s">
        <v>2628</v>
      </c>
    </row>
    <row r="1382" ht="20.25" customHeight="1">
      <c r="A1382" s="5">
        <v>1458.0</v>
      </c>
      <c r="B1382" s="6">
        <v>251224.0</v>
      </c>
      <c r="C1382" s="4"/>
      <c r="D1382" s="17" t="s">
        <v>2629</v>
      </c>
      <c r="E1382" s="8" t="str">
        <f>IFERROR(__xludf.DUMMYFUNCTION("IF(
  LEN(TRIM(D1382))=0,
  ""왼쪽에 영어 문장을 입력하세요"",
  GOOGLETRANSLATE(D1382,""en"",""ko"")
)"),"거친")</f>
        <v>거친</v>
      </c>
      <c r="F1382" s="9" t="s">
        <v>2630</v>
      </c>
    </row>
    <row r="1383" ht="20.25" customHeight="1">
      <c r="A1383" s="5">
        <v>1459.0</v>
      </c>
      <c r="B1383" s="6">
        <v>251224.0</v>
      </c>
      <c r="C1383" s="4"/>
      <c r="D1383" s="17" t="s">
        <v>2631</v>
      </c>
      <c r="E1383" s="8" t="str">
        <f>IFERROR(__xludf.DUMMYFUNCTION("IF(
  LEN(TRIM(D1383))=0,
  ""왼쪽에 영어 문장을 입력하세요"",
  GOOGLETRANSLATE(D1383,""en"",""ko"")
)"),"자만심에 찬")</f>
        <v>자만심에 찬</v>
      </c>
      <c r="F1383" s="9" t="s">
        <v>2632</v>
      </c>
    </row>
    <row r="1384" ht="20.25" customHeight="1">
      <c r="A1384" s="5">
        <v>1460.0</v>
      </c>
      <c r="B1384" s="6">
        <v>251224.0</v>
      </c>
      <c r="C1384" s="4"/>
      <c r="D1384" s="17" t="s">
        <v>2633</v>
      </c>
      <c r="E1384" s="8" t="str">
        <f>IFERROR(__xludf.DUMMYFUNCTION("IF(
  LEN(TRIM(D1384))=0,
  ""왼쪽에 영어 문장을 입력하세요"",
  GOOGLETRANSLATE(D1384,""en"",""ko"")
)"),"보상하다")</f>
        <v>보상하다</v>
      </c>
      <c r="F1384" s="9" t="s">
        <v>2634</v>
      </c>
    </row>
    <row r="1385" ht="20.25" customHeight="1">
      <c r="A1385" s="5">
        <v>1461.0</v>
      </c>
      <c r="B1385" s="6">
        <v>251224.0</v>
      </c>
      <c r="C1385" s="4"/>
      <c r="D1385" s="17" t="s">
        <v>2635</v>
      </c>
      <c r="E1385" s="8" t="str">
        <f>IFERROR(__xludf.DUMMYFUNCTION("IF(
  LEN(TRIM(D1385))=0,
  ""왼쪽에 영어 문장을 입력하세요"",
  GOOGLETRANSLATE(D1385,""en"",""ko"")
)"),"단호한")</f>
        <v>단호한</v>
      </c>
      <c r="F1385" s="9" t="s">
        <v>2636</v>
      </c>
    </row>
    <row r="1386" ht="20.25" customHeight="1">
      <c r="A1386" s="5">
        <v>1462.0</v>
      </c>
      <c r="B1386" s="6">
        <v>251224.0</v>
      </c>
      <c r="C1386" s="4"/>
      <c r="D1386" s="17" t="s">
        <v>2497</v>
      </c>
      <c r="E1386" s="8" t="str">
        <f>IFERROR(__xludf.DUMMYFUNCTION("IF(
  LEN(TRIM(D1386))=0,
  ""왼쪽에 영어 문장을 입력하세요"",
  GOOGLETRANSLATE(D1386,""en"",""ko"")
)"),"견책")</f>
        <v>견책</v>
      </c>
      <c r="F1386" s="9" t="s">
        <v>2637</v>
      </c>
    </row>
    <row r="1387" ht="20.25" customHeight="1">
      <c r="A1387" s="5">
        <v>1463.0</v>
      </c>
      <c r="B1387" s="6">
        <v>251224.0</v>
      </c>
      <c r="C1387" s="4"/>
      <c r="D1387" s="17" t="s">
        <v>2638</v>
      </c>
      <c r="E1387" s="8" t="str">
        <f>IFERROR(__xludf.DUMMYFUNCTION("IF(
  LEN(TRIM(D1387))=0,
  ""왼쪽에 영어 문장을 입력하세요"",
  GOOGLETRANSLATE(D1387,""en"",""ko"")
)"),"부하")</f>
        <v>부하</v>
      </c>
      <c r="F1387" s="9" t="s">
        <v>2639</v>
      </c>
    </row>
    <row r="1388" ht="20.25" customHeight="1">
      <c r="A1388" s="5">
        <v>1464.0</v>
      </c>
      <c r="B1388" s="6">
        <v>251224.0</v>
      </c>
      <c r="C1388" s="4"/>
      <c r="D1388" s="17" t="s">
        <v>2640</v>
      </c>
      <c r="E1388" s="8" t="str">
        <f>IFERROR(__xludf.DUMMYFUNCTION("IF(
  LEN(TRIM(D1388))=0,
  ""왼쪽에 영어 문장을 입력하세요"",
  GOOGLETRANSLATE(D1388,""en"",""ko"")
)"),"안락사")</f>
        <v>안락사</v>
      </c>
      <c r="F1388" s="9" t="s">
        <v>2641</v>
      </c>
    </row>
    <row r="1389" ht="20.25" customHeight="1">
      <c r="A1389" s="5">
        <v>1465.0</v>
      </c>
      <c r="B1389" s="6">
        <v>251224.0</v>
      </c>
      <c r="C1389" s="4"/>
      <c r="D1389" s="17" t="s">
        <v>2642</v>
      </c>
      <c r="E1389" s="8" t="str">
        <f>IFERROR(__xludf.DUMMYFUNCTION("IF(
  LEN(TRIM(D1389))=0,
  ""왼쪽에 영어 문장을 입력하세요"",
  GOOGLETRANSLATE(D1389,""en"",""ko"")
)"),"분노")</f>
        <v>분노</v>
      </c>
      <c r="F1389" s="9" t="s">
        <v>2643</v>
      </c>
    </row>
    <row r="1390" ht="20.25" customHeight="1">
      <c r="A1390" s="5">
        <v>1466.0</v>
      </c>
      <c r="B1390" s="6">
        <v>251224.0</v>
      </c>
      <c r="C1390" s="4"/>
      <c r="D1390" s="17" t="s">
        <v>2644</v>
      </c>
      <c r="E1390" s="8" t="str">
        <f>IFERROR(__xludf.DUMMYFUNCTION("IF(
  LEN(TRIM(D1390))=0,
  ""왼쪽에 영어 문장을 입력하세요"",
  GOOGLETRANSLATE(D1390,""en"",""ko"")
)"),"위반")</f>
        <v>위반</v>
      </c>
      <c r="F1390" s="9" t="s">
        <v>2645</v>
      </c>
    </row>
    <row r="1391" ht="20.25" customHeight="1">
      <c r="A1391" s="5">
        <v>1467.0</v>
      </c>
      <c r="B1391" s="6">
        <v>251224.0</v>
      </c>
      <c r="C1391" s="4"/>
      <c r="D1391" s="17" t="s">
        <v>2646</v>
      </c>
      <c r="E1391" s="8" t="str">
        <f>IFERROR(__xludf.DUMMYFUNCTION("IF(
  LEN(TRIM(D1391))=0,
  ""왼쪽에 영어 문장을 입력하세요"",
  GOOGLETRANSLATE(D1391,""en"",""ko"")
)"),"태도")</f>
        <v>태도</v>
      </c>
      <c r="F1391" s="9" t="s">
        <v>2647</v>
      </c>
    </row>
    <row r="1392" ht="20.25" customHeight="1">
      <c r="A1392" s="5">
        <v>1468.0</v>
      </c>
      <c r="B1392" s="6">
        <v>251224.0</v>
      </c>
      <c r="C1392" s="4"/>
      <c r="D1392" s="17" t="s">
        <v>2648</v>
      </c>
      <c r="E1392" s="8" t="str">
        <f>IFERROR(__xludf.DUMMYFUNCTION("IF(
  LEN(TRIM(D1392))=0,
  ""왼쪽에 영어 문장을 입력하세요"",
  GOOGLETRANSLATE(D1392,""en"",""ko"")
)"),"암시하다")</f>
        <v>암시하다</v>
      </c>
      <c r="F1392" s="9" t="s">
        <v>2649</v>
      </c>
    </row>
    <row r="1393" ht="20.25" customHeight="1">
      <c r="A1393" s="5">
        <v>1469.0</v>
      </c>
      <c r="B1393" s="6">
        <v>251224.0</v>
      </c>
      <c r="C1393" s="4"/>
      <c r="D1393" s="17" t="s">
        <v>2650</v>
      </c>
      <c r="E1393" s="8" t="str">
        <f>IFERROR(__xludf.DUMMYFUNCTION("IF(
  LEN(TRIM(D1393))=0,
  ""왼쪽에 영어 문장을 입력하세요"",
  GOOGLETRANSLATE(D1393,""en"",""ko"")
)"),"방해하다")</f>
        <v>방해하다</v>
      </c>
      <c r="F1393" s="9" t="s">
        <v>2651</v>
      </c>
    </row>
    <row r="1394" ht="20.25" customHeight="1">
      <c r="A1394" s="5">
        <v>1470.0</v>
      </c>
      <c r="B1394" s="6">
        <v>251224.0</v>
      </c>
      <c r="C1394" s="4"/>
      <c r="D1394" s="17" t="s">
        <v>2652</v>
      </c>
      <c r="E1394" s="8" t="str">
        <f>IFERROR(__xludf.DUMMYFUNCTION("IF(
  LEN(TRIM(D1394))=0,
  ""왼쪽에 영어 문장을 입력하세요"",
  GOOGLETRANSLATE(D1394,""en"",""ko"")
)"),"어려운")</f>
        <v>어려운</v>
      </c>
      <c r="F1394" s="9" t="s">
        <v>2653</v>
      </c>
    </row>
    <row r="1395" ht="20.25" customHeight="1">
      <c r="A1395" s="5">
        <v>1471.0</v>
      </c>
      <c r="B1395" s="6">
        <v>251224.0</v>
      </c>
      <c r="C1395" s="4"/>
      <c r="D1395" s="17" t="s">
        <v>2397</v>
      </c>
      <c r="E1395" s="8" t="str">
        <f>IFERROR(__xludf.DUMMYFUNCTION("IF(
  LEN(TRIM(D1395))=0,
  ""왼쪽에 영어 문장을 입력하세요"",
  GOOGLETRANSLATE(D1395,""en"",""ko"")
)"),"정확성")</f>
        <v>정확성</v>
      </c>
      <c r="F1395" s="9" t="s">
        <v>2654</v>
      </c>
    </row>
    <row r="1396" ht="20.25" customHeight="1">
      <c r="A1396" s="5">
        <v>1472.0</v>
      </c>
      <c r="B1396" s="6">
        <v>251224.0</v>
      </c>
      <c r="C1396" s="4"/>
      <c r="D1396" s="17" t="s">
        <v>2655</v>
      </c>
      <c r="E1396" s="8" t="str">
        <f>IFERROR(__xludf.DUMMYFUNCTION("IF(
  LEN(TRIM(D1396))=0,
  ""왼쪽에 영어 문장을 입력하세요"",
  GOOGLETRANSLATE(D1396,""en"",""ko"")
)"),"원시적인")</f>
        <v>원시적인</v>
      </c>
      <c r="F1396" s="9" t="s">
        <v>2656</v>
      </c>
    </row>
    <row r="1397" ht="20.25" customHeight="1">
      <c r="A1397" s="5">
        <v>1473.0</v>
      </c>
      <c r="B1397" s="6">
        <v>251224.0</v>
      </c>
      <c r="C1397" s="4"/>
      <c r="D1397" s="17" t="s">
        <v>2657</v>
      </c>
      <c r="E1397" s="8" t="str">
        <f>IFERROR(__xludf.DUMMYFUNCTION("IF(
  LEN(TRIM(D1397))=0,
  ""왼쪽에 영어 문장을 입력하세요"",
  GOOGLETRANSLATE(D1397,""en"",""ko"")
)"),"대사")</f>
        <v>대사</v>
      </c>
      <c r="F1397" s="9" t="s">
        <v>2658</v>
      </c>
    </row>
    <row r="1398" ht="20.25" customHeight="1">
      <c r="A1398" s="5">
        <v>1474.0</v>
      </c>
      <c r="B1398" s="6">
        <v>251224.0</v>
      </c>
      <c r="C1398" s="4"/>
      <c r="D1398" s="7" t="s">
        <v>2659</v>
      </c>
      <c r="E1398" s="8" t="str">
        <f>IFERROR(__xludf.DUMMYFUNCTION("IF(
  LEN(TRIM(D1398))=0,
  ""왼쪽에 영어 문장을 입력하세요"",
  GOOGLETRANSLATE(D1398,""en"",""ko"")
)"),"금발이 너무해")</f>
        <v>금발이 너무해</v>
      </c>
      <c r="F1398" s="9" t="s">
        <v>2660</v>
      </c>
    </row>
    <row r="1399" ht="20.25" customHeight="1">
      <c r="A1399" s="5">
        <v>1475.0</v>
      </c>
      <c r="B1399" s="6">
        <v>251224.0</v>
      </c>
      <c r="C1399" s="4"/>
      <c r="D1399" s="7" t="s">
        <v>2661</v>
      </c>
      <c r="E1399" s="8" t="str">
        <f>IFERROR(__xludf.DUMMYFUNCTION("IF(
  LEN(TRIM(D1399))=0,
  ""왼쪽에 영어 문장을 입력하세요"",
  GOOGLETRANSLATE(D1399,""en"",""ko"")
)"),"그가 거절할 수 없는 제안을 하겠어.")</f>
        <v>그가 거절할 수 없는 제안을 하겠어.</v>
      </c>
      <c r="F1399" s="9" t="s">
        <v>2662</v>
      </c>
    </row>
    <row r="1400" ht="20.25" customHeight="1">
      <c r="A1400" s="5">
        <v>1476.0</v>
      </c>
      <c r="B1400" s="6">
        <v>251224.0</v>
      </c>
      <c r="C1400" s="4"/>
      <c r="D1400" s="7" t="s">
        <v>2663</v>
      </c>
      <c r="E1400" s="8" t="str">
        <f>IFERROR(__xludf.DUMMYFUNCTION("IF(
  LEN(TRIM(D1400))=0,
  ""왼쪽에 영어 문장을 입력하세요"",
  GOOGLETRANSLATE(D1400,""en"",""ko"")
)"),"돈을 보여줘")</f>
        <v>돈을 보여줘</v>
      </c>
      <c r="F1400" s="9" t="s">
        <v>2664</v>
      </c>
    </row>
    <row r="1401" ht="20.25" customHeight="1">
      <c r="A1401" s="5">
        <v>1477.0</v>
      </c>
      <c r="B1401" s="6">
        <v>251224.0</v>
      </c>
      <c r="C1401" s="4"/>
      <c r="D1401" s="7" t="s">
        <v>2665</v>
      </c>
      <c r="E1401" s="8" t="str">
        <f>IFERROR(__xludf.DUMMYFUNCTION("IF(
  LEN(TRIM(D1401))=0,
  ""왼쪽에 영어 문장을 입력하세요"",
  GOOGLETRANSLATE(D1401,""en"",""ko"")
)"),"사망한 대통령")</f>
        <v>사망한 대통령</v>
      </c>
      <c r="F1401" s="9" t="s">
        <v>2666</v>
      </c>
    </row>
    <row r="1402" ht="20.25" customHeight="1">
      <c r="A1402" s="5">
        <v>1478.0</v>
      </c>
      <c r="B1402" s="6">
        <v>251224.0</v>
      </c>
      <c r="C1402" s="4"/>
      <c r="D1402" s="7" t="s">
        <v>2667</v>
      </c>
      <c r="E1402" s="8" t="str">
        <f>IFERROR(__xludf.DUMMYFUNCTION("IF(
  LEN(TRIM(D1402))=0,
  ""왼쪽에 영어 문장을 입력하세요"",
  GOOGLETRANSLATE(D1402,""en"",""ko"")
)"),"평상복")</f>
        <v>평상복</v>
      </c>
      <c r="F1402" s="9" t="s">
        <v>2668</v>
      </c>
    </row>
    <row r="1403" ht="20.25" customHeight="1">
      <c r="A1403" s="5">
        <v>1479.0</v>
      </c>
      <c r="B1403" s="6">
        <v>251224.0</v>
      </c>
      <c r="C1403" s="4"/>
      <c r="D1403" s="7" t="s">
        <v>2669</v>
      </c>
      <c r="E1403" s="8" t="str">
        <f>IFERROR(__xludf.DUMMYFUNCTION("IF(
  LEN(TRIM(D1403))=0,
  ""왼쪽에 영어 문장을 입력하세요"",
  GOOGLETRANSLATE(D1403,""en"",""ko"")
)"),"허풍쟁이 이야기")</f>
        <v>허풍쟁이 이야기</v>
      </c>
      <c r="F1403" s="9" t="s">
        <v>2670</v>
      </c>
    </row>
    <row r="1404" ht="20.25" customHeight="1">
      <c r="A1404" s="5">
        <v>1480.0</v>
      </c>
      <c r="B1404" s="6">
        <v>251224.0</v>
      </c>
      <c r="C1404" s="4"/>
      <c r="D1404" s="7" t="s">
        <v>28</v>
      </c>
      <c r="E1404" s="8" t="str">
        <f>IFERROR(__xludf.DUMMYFUNCTION("IF(
  LEN(TRIM(D1404))=0,
  ""왼쪽에 영어 문장을 입력하세요"",
  GOOGLETRANSLATE(D1404,""en"",""ko"")
)"),"고통을 감수하라")</f>
        <v>고통을 감수하라</v>
      </c>
      <c r="F1404" s="9" t="s">
        <v>2671</v>
      </c>
    </row>
    <row r="1405" ht="20.25" customHeight="1">
      <c r="A1405" s="5">
        <v>1481.0</v>
      </c>
      <c r="B1405" s="6">
        <v>251224.0</v>
      </c>
      <c r="C1405" s="4"/>
      <c r="D1405" s="7" t="s">
        <v>2672</v>
      </c>
      <c r="E1405" s="8" t="str">
        <f>IFERROR(__xludf.DUMMYFUNCTION("IF(
  LEN(TRIM(D1405))=0,
  ""왼쪽에 영어 문장을 입력하세요"",
  GOOGLETRANSLATE(D1405,""en"",""ko"")
)"),"파란색 줄무늬")</f>
        <v>파란색 줄무늬</v>
      </c>
      <c r="F1405" s="9" t="s">
        <v>2673</v>
      </c>
    </row>
    <row r="1406" ht="20.25" customHeight="1">
      <c r="A1406" s="5">
        <v>1482.0</v>
      </c>
      <c r="B1406" s="6">
        <v>251224.0</v>
      </c>
      <c r="C1406" s="4"/>
      <c r="D1406" s="7" t="s">
        <v>2674</v>
      </c>
      <c r="E1406" s="8" t="str">
        <f>IFERROR(__xludf.DUMMYFUNCTION("IF(
  LEN(TRIM(D1406))=0,
  ""왼쪽에 영어 문장을 입력하세요"",
  GOOGLETRANSLATE(D1406,""en"",""ko"")
)"),"육체적 지식")</f>
        <v>육체적 지식</v>
      </c>
      <c r="F1406" s="9" t="s">
        <v>2675</v>
      </c>
    </row>
    <row r="1407" ht="20.25" customHeight="1">
      <c r="A1407" s="5">
        <v>1483.0</v>
      </c>
      <c r="B1407" s="6">
        <v>251224.0</v>
      </c>
      <c r="C1407" s="4"/>
      <c r="D1407" s="7" t="s">
        <v>2676</v>
      </c>
      <c r="E1407" s="8" t="str">
        <f>IFERROR(__xludf.DUMMYFUNCTION("IF(
  LEN(TRIM(D1407))=0,
  ""왼쪽에 영어 문장을 입력하세요"",
  GOOGLETRANSLATE(D1407,""en"",""ko"")
)"),"콜드 터키")</f>
        <v>콜드 터키</v>
      </c>
      <c r="F1407" s="9" t="s">
        <v>2677</v>
      </c>
    </row>
    <row r="1408" ht="20.25" customHeight="1">
      <c r="A1408" s="5">
        <v>1484.0</v>
      </c>
      <c r="B1408" s="6">
        <v>251224.0</v>
      </c>
      <c r="C1408" s="4"/>
      <c r="D1408" s="7" t="s">
        <v>2678</v>
      </c>
      <c r="E1408" s="8" t="str">
        <f>IFERROR(__xludf.DUMMYFUNCTION("IF(
  LEN(TRIM(D1408))=0,
  ""왼쪽에 영어 문장을 입력하세요"",
  GOOGLETRANSLATE(D1408,""en"",""ko"")
)"),"대화 소재")</f>
        <v>대화 소재</v>
      </c>
      <c r="F1408" s="9" t="s">
        <v>2679</v>
      </c>
    </row>
    <row r="1409" ht="20.25" customHeight="1">
      <c r="A1409" s="5">
        <v>1485.0</v>
      </c>
      <c r="B1409" s="6">
        <v>251224.0</v>
      </c>
      <c r="C1409" s="4"/>
      <c r="D1409" s="7" t="s">
        <v>2680</v>
      </c>
      <c r="E1409" s="8" t="str">
        <f>IFERROR(__xludf.DUMMYFUNCTION("IF(
  LEN(TRIM(D1409))=0,
  ""왼쪽에 영어 문장을 입력하세요"",
  GOOGLETRANSLATE(D1409,""en"",""ko"")
)"),"울어 삼촌")</f>
        <v>울어 삼촌</v>
      </c>
      <c r="F1409" s="9" t="s">
        <v>2681</v>
      </c>
    </row>
    <row r="1410" ht="20.25" customHeight="1">
      <c r="A1410" s="5">
        <v>1486.0</v>
      </c>
      <c r="B1410" s="6">
        <v>251224.0</v>
      </c>
      <c r="C1410" s="4"/>
      <c r="D1410" s="7" t="s">
        <v>2682</v>
      </c>
      <c r="E1410" s="8" t="str">
        <f>IFERROR(__xludf.DUMMYFUNCTION("IF(
  LEN(TRIM(D1410))=0,
  ""왼쪽에 영어 문장을 입력하세요"",
  GOOGLETRANSLATE(D1410,""en"",""ko"")
)"),"늑대라고 외쳐라")</f>
        <v>늑대라고 외쳐라</v>
      </c>
      <c r="F1410" s="9" t="s">
        <v>2683</v>
      </c>
    </row>
    <row r="1411" ht="20.25" customHeight="1">
      <c r="A1411" s="5">
        <v>1487.0</v>
      </c>
      <c r="B1411" s="6">
        <v>251224.0</v>
      </c>
      <c r="C1411" s="4"/>
      <c r="D1411" s="7" t="s">
        <v>2684</v>
      </c>
      <c r="E1411" s="8" t="str">
        <f>IFERROR(__xludf.DUMMYFUNCTION("IF(
  LEN(TRIM(D1411))=0,
  ""왼쪽에 영어 문장을 입력하세요"",
  GOOGLETRANSLATE(D1411,""en"",""ko"")
)"),"악마의 변호인")</f>
        <v>악마의 변호인</v>
      </c>
      <c r="F1411" s="9" t="s">
        <v>2685</v>
      </c>
    </row>
    <row r="1412" ht="20.25" customHeight="1">
      <c r="A1412" s="5">
        <v>1488.0</v>
      </c>
      <c r="B1412" s="6">
        <v>251224.0</v>
      </c>
      <c r="C1412" s="4"/>
      <c r="D1412" s="7" t="s">
        <v>2686</v>
      </c>
      <c r="E1412" s="8" t="str">
        <f>IFERROR(__xludf.DUMMYFUNCTION("IF(
  LEN(TRIM(D1412))=0,
  ""왼쪽에 영어 문장을 입력하세요"",
  GOOGLETRANSLATE(D1412,""en"",""ko"")
)"),"오리 수프")</f>
        <v>오리 수프</v>
      </c>
      <c r="F1412" s="9" t="s">
        <v>2687</v>
      </c>
    </row>
    <row r="1413" ht="20.25" customHeight="1">
      <c r="A1413" s="5">
        <v>1489.0</v>
      </c>
      <c r="B1413" s="6">
        <v>251224.0</v>
      </c>
      <c r="C1413" s="4"/>
      <c r="D1413" s="7" t="s">
        <v>2688</v>
      </c>
      <c r="E1413" s="8" t="str">
        <f>IFERROR(__xludf.DUMMYFUNCTION("IF(
  LEN(TRIM(D1413))=0,
  ""왼쪽에 영어 문장을 입력하세요"",
  GOOGLETRANSLATE(D1413,""en"",""ko"")
)"),"가족의 보석")</f>
        <v>가족의 보석</v>
      </c>
      <c r="F1413" s="9" t="s">
        <v>2689</v>
      </c>
    </row>
    <row r="1414" ht="20.25" customHeight="1">
      <c r="A1414" s="5">
        <v>1490.0</v>
      </c>
      <c r="B1414" s="6">
        <v>251224.0</v>
      </c>
      <c r="C1414" s="4"/>
      <c r="D1414" s="7" t="s">
        <v>2690</v>
      </c>
      <c r="E1414" s="8" t="str">
        <f>IFERROR(__xludf.DUMMYFUNCTION("IF(
  LEN(TRIM(D1414))=0,
  ""왼쪽에 영어 문장을 입력하세요"",
  GOOGLETRANSLATE(D1414,""en"",""ko"")
)"),"첫 번째 피")</f>
        <v>첫 번째 피</v>
      </c>
      <c r="F1414" s="9" t="s">
        <v>2691</v>
      </c>
    </row>
    <row r="1415" ht="20.25" customHeight="1">
      <c r="A1415" s="5">
        <v>1491.0</v>
      </c>
      <c r="B1415" s="6">
        <v>251224.0</v>
      </c>
      <c r="C1415" s="4"/>
      <c r="D1415" s="7" t="s">
        <v>2692</v>
      </c>
      <c r="E1415" s="8" t="str">
        <f>IFERROR(__xludf.DUMMYFUNCTION("IF(
  LEN(TRIM(D1415))=0,
  ""왼쪽에 영어 문장을 입력하세요"",
  GOOGLETRANSLATE(D1415,""en"",""ko"")
)"),"재밌는 농장")</f>
        <v>재밌는 농장</v>
      </c>
      <c r="F1415" s="9" t="s">
        <v>2693</v>
      </c>
    </row>
    <row r="1416" ht="20.25" customHeight="1">
      <c r="A1416" s="5">
        <v>1492.0</v>
      </c>
      <c r="B1416" s="6">
        <v>251224.0</v>
      </c>
      <c r="C1416" s="4"/>
      <c r="D1416" s="7" t="s">
        <v>2694</v>
      </c>
      <c r="E1416" s="8" t="str">
        <f>IFERROR(__xludf.DUMMYFUNCTION("IF(
  LEN(TRIM(D1416))=0,
  ""왼쪽에 영어 문장을 입력하세요"",
  GOOGLETRANSLATE(D1416,""en"",""ko"")
)"),"미쳐버릴 것 같아")</f>
        <v>미쳐버릴 것 같아</v>
      </c>
      <c r="F1416" s="9" t="s">
        <v>2695</v>
      </c>
    </row>
    <row r="1417" ht="20.25" customHeight="1">
      <c r="A1417" s="5">
        <v>1493.0</v>
      </c>
      <c r="B1417" s="6">
        <v>251224.0</v>
      </c>
      <c r="C1417" s="4"/>
      <c r="D1417" s="7" t="s">
        <v>2696</v>
      </c>
      <c r="E1417" s="8" t="str">
        <f>IFERROR(__xludf.DUMMYFUNCTION("IF(
  LEN(TRIM(D1417))=0,
  ""왼쪽에 영어 문장을 입력하세요"",
  GOOGLETRANSLATE(D1417,""en"",""ko"")
)"),"그레이비 트레인")</f>
        <v>그레이비 트레인</v>
      </c>
      <c r="F1417" s="9" t="s">
        <v>2697</v>
      </c>
    </row>
    <row r="1418" ht="20.25" customHeight="1">
      <c r="A1418" s="5">
        <v>1494.0</v>
      </c>
      <c r="B1418" s="6">
        <v>251224.0</v>
      </c>
      <c r="C1418" s="4"/>
      <c r="D1418" s="7" t="s">
        <v>2698</v>
      </c>
      <c r="E1418" s="8" t="str">
        <f>IFERROR(__xludf.DUMMYFUNCTION("IF(
  LEN(TRIM(D1418))=0,
  ""왼쪽에 영어 문장을 입력하세요"",
  GOOGLETRANSLATE(D1418,""en"",""ko"")
)"),"말 깃털")</f>
        <v>말 깃털</v>
      </c>
      <c r="F1418" s="9" t="s">
        <v>2699</v>
      </c>
    </row>
    <row r="1419" ht="20.25" customHeight="1">
      <c r="A1419" s="5">
        <v>1495.0</v>
      </c>
      <c r="B1419" s="6">
        <v>251224.0</v>
      </c>
      <c r="C1419" s="4"/>
      <c r="D1419" s="7" t="s">
        <v>2700</v>
      </c>
      <c r="E1419" s="8" t="str">
        <f>IFERROR(__xludf.DUMMYFUNCTION("IF(
  LEN(TRIM(D1419))=0,
  ""왼쪽에 영어 문장을 입력하세요"",
  GOOGLETRANSLATE(D1419,""en"",""ko"")
)"),"유전되는 것 같아요")</f>
        <v>유전되는 것 같아요</v>
      </c>
      <c r="F1419" s="9" t="s">
        <v>2701</v>
      </c>
    </row>
    <row r="1420" ht="20.25" customHeight="1">
      <c r="A1420" s="5">
        <v>1496.0</v>
      </c>
      <c r="B1420" s="6">
        <v>251224.0</v>
      </c>
      <c r="C1420" s="4"/>
      <c r="D1420" s="7" t="s">
        <v>2702</v>
      </c>
      <c r="E1420" s="8" t="str">
        <f>IFERROR(__xludf.DUMMYFUNCTION("IF(
  LEN(TRIM(D1420))=0,
  ""왼쪽에 영어 문장을 입력하세요"",
  GOOGLETRANSLATE(D1420,""en"",""ko"")
)"),"늦게 온 사람")</f>
        <v>늦게 온 사람</v>
      </c>
      <c r="F1420" s="9" t="s">
        <v>2703</v>
      </c>
    </row>
    <row r="1421" ht="20.25" customHeight="1">
      <c r="A1421" s="5">
        <v>1497.0</v>
      </c>
      <c r="B1421" s="6">
        <v>251224.0</v>
      </c>
      <c r="C1421" s="4"/>
      <c r="D1421" s="7" t="s">
        <v>2704</v>
      </c>
      <c r="E1421" s="8" t="str">
        <f>IFERROR(__xludf.DUMMYFUNCTION("IF(
  LEN(TRIM(D1421))=0,
  ""왼쪽에 영어 문장을 입력하세요"",
  GOOGLETRANSLATE(D1421,""en"",""ko"")
)"),"장거리 샷")</f>
        <v>장거리 샷</v>
      </c>
      <c r="F1421" s="9" t="s">
        <v>2705</v>
      </c>
    </row>
    <row r="1422" ht="20.25" customHeight="1">
      <c r="A1422" s="5">
        <v>1498.0</v>
      </c>
      <c r="B1422" s="6">
        <v>251224.0</v>
      </c>
      <c r="C1422" s="4"/>
      <c r="D1422" s="7" t="s">
        <v>2706</v>
      </c>
      <c r="E1422" s="8" t="str">
        <f>IFERROR(__xludf.DUMMYFUNCTION("IF(
  LEN(TRIM(D1422))=0,
  ""왼쪽에 영어 문장을 입력하세요"",
  GOOGLETRANSLATE(D1422,""en"",""ko"")
)"),"누가 누굴 보고 말하는 거야?")</f>
        <v>누가 누굴 보고 말하는 거야?</v>
      </c>
      <c r="F1422" s="9" t="s">
        <v>2707</v>
      </c>
    </row>
    <row r="1423" ht="20.25" customHeight="1">
      <c r="A1423" s="5">
        <v>1499.0</v>
      </c>
      <c r="B1423" s="6">
        <v>251224.0</v>
      </c>
      <c r="C1423" s="4"/>
      <c r="D1423" s="7" t="s">
        <v>2708</v>
      </c>
      <c r="E1423" s="8" t="str">
        <f>IFERROR(__xludf.DUMMYFUNCTION("IF(
  LEN(TRIM(D1423))=0,
  ""왼쪽에 영어 문장을 입력하세요"",
  GOOGLETRANSLATE(D1423,""en"",""ko"")
)"),"제멋대로인 사람들")</f>
        <v>제멋대로인 사람들</v>
      </c>
      <c r="F1423" s="9" t="s">
        <v>2709</v>
      </c>
    </row>
    <row r="1424" ht="20.25" customHeight="1">
      <c r="A1424" s="5">
        <v>1500.0</v>
      </c>
      <c r="B1424" s="6">
        <v>251224.0</v>
      </c>
      <c r="C1424" s="4"/>
      <c r="D1424" s="7" t="s">
        <v>2710</v>
      </c>
      <c r="E1424" s="8" t="str">
        <f>IFERROR(__xludf.DUMMYFUNCTION("IF(
  LEN(TRIM(D1424))=0,
  ""왼쪽에 영어 문장을 입력하세요"",
  GOOGLETRANSLATE(D1424,""en"",""ko"")
)"),"돈이 최고다")</f>
        <v>돈이 최고다</v>
      </c>
      <c r="F1424" s="9" t="s">
        <v>2711</v>
      </c>
    </row>
    <row r="1425" ht="20.25" customHeight="1">
      <c r="A1425" s="5">
        <v>1501.0</v>
      </c>
      <c r="B1425" s="6">
        <v>251224.0</v>
      </c>
      <c r="C1425" s="4"/>
      <c r="D1425" s="7" t="s">
        <v>2712</v>
      </c>
      <c r="E1425" s="8" t="str">
        <f>IFERROR(__xludf.DUMMYFUNCTION("IF(
  LEN(TRIM(D1425))=0,
  ""왼쪽에 영어 문장을 입력하세요"",
  GOOGLETRANSLATE(D1425,""en"",""ko"")
)"),"원숭이 사업")</f>
        <v>원숭이 사업</v>
      </c>
      <c r="F1425" s="9" t="s">
        <v>2713</v>
      </c>
    </row>
    <row r="1426" ht="20.25" customHeight="1">
      <c r="A1426" s="5">
        <v>1502.0</v>
      </c>
      <c r="B1426" s="6">
        <v>251224.0</v>
      </c>
      <c r="C1426" s="4"/>
      <c r="D1426" s="7" t="s">
        <v>2714</v>
      </c>
      <c r="E1426" s="8" t="str">
        <f>IFERROR(__xludf.DUMMYFUNCTION("IF(
  LEN(TRIM(D1426))=0,
  ""왼쪽에 영어 문장을 입력하세요"",
  GOOGLETRANSLATE(D1426,""en"",""ko"")
)"),"아슬아슬하게 제때에")</f>
        <v>아슬아슬하게 제때에</v>
      </c>
      <c r="F1426" s="9" t="s">
        <v>2715</v>
      </c>
    </row>
    <row r="1427" ht="20.25" customHeight="1">
      <c r="A1427" s="5">
        <v>1503.0</v>
      </c>
      <c r="B1427" s="6">
        <v>251224.0</v>
      </c>
      <c r="C1427" s="4"/>
      <c r="D1427" s="7" t="s">
        <v>2716</v>
      </c>
      <c r="E1427" s="8" t="str">
        <f>IFERROR(__xludf.DUMMYFUNCTION("IF(
  LEN(TRIM(D1427))=0,
  ""왼쪽에 영어 문장을 입력하세요"",
  GOOGLETRANSLATE(D1427,""en"",""ko"")
)"),"누구도 바보가 아니다")</f>
        <v>누구도 바보가 아니다</v>
      </c>
      <c r="F1427" s="9" t="s">
        <v>2717</v>
      </c>
    </row>
    <row r="1428" ht="20.25" customHeight="1">
      <c r="A1428" s="5">
        <v>1504.0</v>
      </c>
      <c r="B1428" s="6">
        <v>251224.0</v>
      </c>
      <c r="C1428" s="4"/>
      <c r="D1428" s="7" t="s">
        <v>2718</v>
      </c>
      <c r="E1428" s="8" t="str">
        <f>IFERROR(__xludf.DUMMYFUNCTION("IF(
  LEN(TRIM(D1428))=0,
  ""왼쪽에 영어 문장을 입력하세요"",
  GOOGLETRANSLATE(D1428,""en"",""ko"")
)"),"풀려난")</f>
        <v>풀려난</v>
      </c>
      <c r="F1428" s="9" t="s">
        <v>2719</v>
      </c>
    </row>
    <row r="1429" ht="20.25" customHeight="1">
      <c r="A1429" s="5">
        <v>1505.0</v>
      </c>
      <c r="B1429" s="6">
        <v>251224.0</v>
      </c>
      <c r="C1429" s="4"/>
      <c r="D1429" s="7" t="s">
        <v>2720</v>
      </c>
      <c r="E1429" s="8" t="str">
        <f>IFERROR(__xludf.DUMMYFUNCTION("IF(
  LEN(TRIM(D1429))=0,
  ""왼쪽에 영어 문장을 입력하세요"",
  GOOGLETRANSLATE(D1429,""en"",""ko"")
)"),"허황된 꿈")</f>
        <v>허황된 꿈</v>
      </c>
      <c r="F1429" s="9" t="s">
        <v>2721</v>
      </c>
    </row>
    <row r="1430" ht="20.25" customHeight="1">
      <c r="A1430" s="5">
        <v>1506.0</v>
      </c>
      <c r="B1430" s="6">
        <v>251224.0</v>
      </c>
      <c r="C1430" s="4"/>
      <c r="D1430" s="7" t="s">
        <v>2722</v>
      </c>
      <c r="E1430" s="8" t="str">
        <f>IFERROR(__xludf.DUMMYFUNCTION("IF(
  LEN(TRIM(D1430))=0,
  ""왼쪽에 영어 문장을 입력하세요"",
  GOOGLETRANSLATE(D1430,""en"",""ko"")
)"),"플랜 B")</f>
        <v>플랜 B</v>
      </c>
      <c r="F1430" s="9" t="s">
        <v>2723</v>
      </c>
    </row>
    <row r="1431" ht="20.25" customHeight="1">
      <c r="A1431" s="5">
        <v>1507.0</v>
      </c>
      <c r="B1431" s="6">
        <v>251224.0</v>
      </c>
      <c r="C1431" s="4"/>
      <c r="D1431" s="7" t="s">
        <v>2724</v>
      </c>
      <c r="E1431" s="8" t="str">
        <f>IFERROR(__xludf.DUMMYFUNCTION("IF(
  LEN(TRIM(D1431))=0,
  ""왼쪽에 영어 문장을 입력하세요"",
  GOOGLETRANSLATE(D1431,""en"",""ko"")
)"),"시적 정의")</f>
        <v>시적 정의</v>
      </c>
      <c r="F1431" s="9" t="s">
        <v>2725</v>
      </c>
    </row>
    <row r="1432" ht="20.25" customHeight="1">
      <c r="A1432" s="5">
        <v>1508.0</v>
      </c>
      <c r="B1432" s="6">
        <v>251224.0</v>
      </c>
      <c r="C1432" s="4"/>
      <c r="D1432" s="7" t="s">
        <v>2726</v>
      </c>
      <c r="E1432" s="8" t="str">
        <f>IFERROR(__xludf.DUMMYFUNCTION("IF(
  LEN(TRIM(D1432))=0,
  ""왼쪽에 영어 문장을 입력하세요"",
  GOOGLETRANSLATE(D1432,""en"",""ko"")
)"),"기항지")</f>
        <v>기항지</v>
      </c>
      <c r="F1432" s="9" t="s">
        <v>2727</v>
      </c>
    </row>
    <row r="1433" ht="20.25" customHeight="1">
      <c r="A1433" s="5">
        <v>1509.0</v>
      </c>
      <c r="B1433" s="6">
        <v>251224.0</v>
      </c>
      <c r="C1433" s="4"/>
      <c r="D1433" s="7" t="s">
        <v>2728</v>
      </c>
      <c r="E1433" s="8" t="str">
        <f>IFERROR(__xludf.DUMMYFUNCTION("IF(
  LEN(TRIM(D1433))=0,
  ""왼쪽에 영어 문장을 입력하세요"",
  GOOGLETRANSLATE(D1433,""en"",""ko"")
)"),"최상급 부위")</f>
        <v>최상급 부위</v>
      </c>
      <c r="F1433" s="9" t="s">
        <v>2729</v>
      </c>
    </row>
    <row r="1434" ht="20.25" customHeight="1">
      <c r="A1434" s="5">
        <v>1510.0</v>
      </c>
      <c r="B1434" s="6">
        <v>251224.0</v>
      </c>
      <c r="C1434" s="4"/>
      <c r="D1434" s="7" t="s">
        <v>2730</v>
      </c>
      <c r="E1434" s="8" t="str">
        <f>IFERROR(__xludf.DUMMYFUNCTION("IF(
  LEN(TRIM(D1434))=0,
  ""왼쪽에 영어 문장을 입력하세요"",
  GOOGLETRANSLATE(D1434,""en"",""ko"")
)"),"산 자와 죽은 자")</f>
        <v>산 자와 죽은 자</v>
      </c>
      <c r="F1434" s="9" t="s">
        <v>2731</v>
      </c>
    </row>
    <row r="1435" ht="20.25" customHeight="1">
      <c r="A1435" s="5">
        <v>1511.0</v>
      </c>
      <c r="B1435" s="6">
        <v>251224.0</v>
      </c>
      <c r="C1435" s="4"/>
      <c r="D1435" s="7" t="s">
        <v>2732</v>
      </c>
      <c r="E1435" s="8" t="str">
        <f>IFERROR(__xludf.DUMMYFUNCTION("IF(
  LEN(TRIM(D1435))=0,
  ""왼쪽에 영어 문장을 입력하세요"",
  GOOGLETRANSLATE(D1435,""en"",""ko"")
)"),"부당한 취급")</f>
        <v>부당한 취급</v>
      </c>
      <c r="F1435" s="9" t="s">
        <v>2733</v>
      </c>
    </row>
    <row r="1436" ht="20.25" customHeight="1">
      <c r="A1436" s="5">
        <v>1512.0</v>
      </c>
      <c r="B1436" s="6">
        <v>251224.0</v>
      </c>
      <c r="C1436" s="4"/>
      <c r="D1436" s="7" t="s">
        <v>2734</v>
      </c>
      <c r="E1436" s="8" t="str">
        <f>IFERROR(__xludf.DUMMYFUNCTION("IF(
  LEN(TRIM(D1436))=0,
  ""왼쪽에 영어 문장을 입력하세요"",
  GOOGLETRANSLATE(D1436,""en"",""ko"")
)"),"진짜 맥코이")</f>
        <v>진짜 맥코이</v>
      </c>
      <c r="F1436" s="9" t="s">
        <v>2735</v>
      </c>
    </row>
    <row r="1437" ht="20.25" customHeight="1">
      <c r="A1437" s="5">
        <v>1513.0</v>
      </c>
      <c r="B1437" s="6">
        <v>251224.0</v>
      </c>
      <c r="C1437" s="4"/>
      <c r="D1437" s="7" t="s">
        <v>2736</v>
      </c>
      <c r="E1437" s="8" t="str">
        <f>IFERROR(__xludf.DUMMYFUNCTION("IF(
  LEN(TRIM(D1437))=0,
  ""왼쪽에 영어 문장을 입력하세요"",
  GOOGLETRANSLATE(D1437,""en"",""ko"")
)"),"실버 불렛")</f>
        <v>실버 불렛</v>
      </c>
      <c r="F1437" s="9" t="s">
        <v>2737</v>
      </c>
    </row>
    <row r="1438" ht="20.25" customHeight="1">
      <c r="A1438" s="5">
        <v>1514.0</v>
      </c>
      <c r="B1438" s="6">
        <v>251224.0</v>
      </c>
      <c r="C1438" s="4"/>
      <c r="D1438" s="7" t="s">
        <v>2738</v>
      </c>
      <c r="E1438" s="8" t="str">
        <f>IFERROR(__xludf.DUMMYFUNCTION("IF(
  LEN(TRIM(D1438))=0,
  ""왼쪽에 영어 문장을 입력하세요"",
  GOOGLETRANSLATE(D1438,""en"",""ko"")
)"),"슬럼가")</f>
        <v>슬럼가</v>
      </c>
      <c r="F1438" s="9" t="s">
        <v>2739</v>
      </c>
    </row>
    <row r="1439" ht="20.25" customHeight="1">
      <c r="A1439" s="5">
        <v>1515.0</v>
      </c>
      <c r="B1439" s="6">
        <v>251224.0</v>
      </c>
      <c r="C1439" s="4"/>
      <c r="D1439" s="7" t="s">
        <v>2740</v>
      </c>
      <c r="E1439" s="8" t="str">
        <f>IFERROR(__xludf.DUMMYFUNCTION("IF(
  LEN(TRIM(D1439))=0,
  ""왼쪽에 영어 문장을 입력하세요"",
  GOOGLETRANSLATE(D1439,""en"",""ko"")
)"),"총각파티")</f>
        <v>총각파티</v>
      </c>
      <c r="F1439" s="9" t="s">
        <v>2741</v>
      </c>
    </row>
    <row r="1440" ht="20.25" customHeight="1">
      <c r="A1440" s="5">
        <v>1516.0</v>
      </c>
      <c r="B1440" s="6">
        <v>251224.0</v>
      </c>
      <c r="C1440" s="4"/>
      <c r="D1440" s="7" t="s">
        <v>2742</v>
      </c>
      <c r="E1440" s="8" t="str">
        <f>IFERROR(__xludf.DUMMYFUNCTION("IF(
  LEN(TRIM(D1440))=0,
  ""왼쪽에 영어 문장을 입력하세요"",
  GOOGLETRANSLATE(D1440,""en"",""ko"")
)"),"처녀 파티")</f>
        <v>처녀 파티</v>
      </c>
      <c r="F1440" s="9" t="s">
        <v>2743</v>
      </c>
    </row>
    <row r="1441" ht="20.25" customHeight="1">
      <c r="A1441" s="5">
        <v>1517.0</v>
      </c>
      <c r="B1441" s="6">
        <v>251224.0</v>
      </c>
      <c r="C1441" s="4"/>
      <c r="D1441" s="7" t="s">
        <v>2744</v>
      </c>
      <c r="E1441" s="8" t="str">
        <f>IFERROR(__xludf.DUMMYFUNCTION("IF(
  LEN(TRIM(D1441))=0,
  ""왼쪽에 영어 문장을 입력하세요"",
  GOOGLETRANSLATE(D1441,""en"",""ko"")
)"),"솔직한 사람")</f>
        <v>솔직한 사람</v>
      </c>
      <c r="F1441" s="9" t="s">
        <v>2745</v>
      </c>
    </row>
    <row r="1442" ht="20.25" customHeight="1">
      <c r="A1442" s="5">
        <v>1518.0</v>
      </c>
      <c r="B1442" s="6">
        <v>251224.0</v>
      </c>
      <c r="C1442" s="4"/>
      <c r="D1442" s="7" t="s">
        <v>2746</v>
      </c>
      <c r="E1442" s="8" t="str">
        <f>IFERROR(__xludf.DUMMYFUNCTION("IF(
  LEN(TRIM(D1442))=0,
  ""왼쪽에 영어 문장을 입력하세요"",
  GOOGLETRANSLATE(D1442,""en"",""ko"")
)"),"허풍 이야기")</f>
        <v>허풍 이야기</v>
      </c>
      <c r="F1442" s="9" t="s">
        <v>2747</v>
      </c>
    </row>
    <row r="1443" ht="20.25" customHeight="1">
      <c r="A1443" s="5">
        <v>1519.0</v>
      </c>
      <c r="B1443" s="6">
        <v>251224.0</v>
      </c>
      <c r="C1443" s="4"/>
      <c r="D1443" s="7" t="s">
        <v>2748</v>
      </c>
      <c r="E1443" s="8" t="str">
        <f>IFERROR(__xludf.DUMMYFUNCTION("IF(
  LEN(TRIM(D1443))=0,
  ""왼쪽에 영어 문장을 입력하세요"",
  GOOGLETRANSLATE(D1443,""en"",""ko"")
)"),"웨그 더 도그")</f>
        <v>웨그 더 도그</v>
      </c>
      <c r="F1443" s="9" t="s">
        <v>2749</v>
      </c>
    </row>
    <row r="1444" ht="20.25" customHeight="1">
      <c r="A1444" s="5">
        <v>1520.0</v>
      </c>
      <c r="B1444" s="6">
        <v>251224.0</v>
      </c>
      <c r="C1444" s="4"/>
      <c r="D1444" s="7" t="s">
        <v>2750</v>
      </c>
      <c r="E1444" s="8" t="str">
        <f>IFERROR(__xludf.DUMMYFUNCTION("IF(
  LEN(TRIM(D1444))=0,
  ""왼쪽에 영어 문장을 입력하세요"",
  GOOGLETRANSLATE(D1444,""en"",""ko"")
)"),"가슴이 두근거려요")</f>
        <v>가슴이 두근거려요</v>
      </c>
      <c r="F1444" s="9" t="s">
        <v>2751</v>
      </c>
    </row>
    <row r="1445" ht="20.25" customHeight="1">
      <c r="A1445" s="5">
        <v>1521.0</v>
      </c>
      <c r="B1445" s="6">
        <v>251224.0</v>
      </c>
      <c r="C1445" s="4"/>
      <c r="D1445" s="7" t="s">
        <v>2752</v>
      </c>
      <c r="E1445" s="8" t="str">
        <f>IFERROR(__xludf.DUMMYFUNCTION("IF(
  LEN(TRIM(D1445))=0,
  ""왼쪽에 영어 문장을 입력하세요"",
  GOOGLETRANSLATE(D1445,""en"",""ko"")
)"),"모든 것을 다")</f>
        <v>모든 것을 다</v>
      </c>
      <c r="F1445" s="9" t="s">
        <v>2753</v>
      </c>
    </row>
    <row r="1446" ht="20.25" customHeight="1">
      <c r="A1446" s="5">
        <v>1522.0</v>
      </c>
      <c r="B1446" s="6">
        <v>251224.0</v>
      </c>
      <c r="C1446" s="4"/>
      <c r="D1446" s="7" t="s">
        <v>2754</v>
      </c>
      <c r="E1446" s="8" t="str">
        <f>IFERROR(__xludf.DUMMYFUNCTION("IF(
  LEN(TRIM(D1446))=0,
  ""왼쪽에 영어 문장을 입력하세요"",
  GOOGLETRANSLATE(D1446,""en"",""ko"")
)"),"모든 걸 다 걸고 싸워볼게요")</f>
        <v>모든 걸 다 걸고 싸워볼게요</v>
      </c>
      <c r="F1446" s="9" t="s">
        <v>2755</v>
      </c>
    </row>
    <row r="1447" ht="20.25" customHeight="1">
      <c r="A1447" s="5">
        <v>1523.0</v>
      </c>
      <c r="B1447" s="6">
        <v>251224.0</v>
      </c>
      <c r="C1447" s="4"/>
      <c r="D1447" s="7" t="s">
        <v>2756</v>
      </c>
      <c r="E1447" s="8" t="str">
        <f>IFERROR(__xludf.DUMMYFUNCTION("IF(
  LEN(TRIM(D1447))=0,
  ""왼쪽에 영어 문장을 입력하세요"",
  GOOGLETRANSLATE(D1447,""en"",""ko"")
)"),"그녀는 멋지게 차려입었다")</f>
        <v>그녀는 멋지게 차려입었다</v>
      </c>
      <c r="F1447" s="9" t="s">
        <v>2757</v>
      </c>
    </row>
    <row r="1448" ht="20.25" customHeight="1">
      <c r="A1448" s="5">
        <v>1524.0</v>
      </c>
      <c r="B1448" s="6">
        <v>251224.0</v>
      </c>
      <c r="C1448" s="4"/>
      <c r="D1448" s="7" t="s">
        <v>2758</v>
      </c>
      <c r="E1448" s="8" t="str">
        <f>IFERROR(__xludf.DUMMYFUNCTION("IF(
  LEN(TRIM(D1448))=0,
  ""왼쪽에 영어 문장을 입력하세요"",
  GOOGLETRANSLATE(D1448,""en"",""ko"")
)"),"고양이는 아홉 개의 목숨을 가지고 있다")</f>
        <v>고양이는 아홉 개의 목숨을 가지고 있다</v>
      </c>
      <c r="F1448" s="9" t="s">
        <v>2759</v>
      </c>
    </row>
    <row r="1449" ht="20.25" customHeight="1">
      <c r="A1449" s="5">
        <v>1525.0</v>
      </c>
      <c r="B1449" s="6">
        <v>251224.0</v>
      </c>
      <c r="C1449" s="4"/>
      <c r="D1449" s="7" t="s">
        <v>2760</v>
      </c>
      <c r="E1449" s="8" t="str">
        <f>IFERROR(__xludf.DUMMYFUNCTION("IF(
  LEN(TRIM(D1449))=0,
  ""왼쪽에 영어 문장을 입력하세요"",
  GOOGLETRANSLATE(D1449,""en"",""ko"")
)"),"구름 9")</f>
        <v>구름 9</v>
      </c>
      <c r="F1449" s="9" t="s">
        <v>2761</v>
      </c>
    </row>
    <row r="1450" ht="20.25" customHeight="1">
      <c r="A1450" s="5">
        <v>1526.0</v>
      </c>
      <c r="B1450" s="6">
        <v>251224.0</v>
      </c>
      <c r="C1450" s="4"/>
      <c r="D1450" s="7" t="s">
        <v>2762</v>
      </c>
      <c r="E1450" s="8" t="str">
        <f>IFERROR(__xludf.DUMMYFUNCTION("IF(
  LEN(TRIM(D1450))=0,
  ""왼쪽에 영어 문장을 입력하세요"",
  GOOGLETRANSLATE(D1450,""en"",""ko"")
)"),"세상일이란 원래 그런 법이지")</f>
        <v>세상일이란 원래 그런 법이지</v>
      </c>
      <c r="F1450" s="9" t="s">
        <v>2763</v>
      </c>
    </row>
    <row r="1451" ht="20.25" customHeight="1">
      <c r="A1451" s="5">
        <v>1527.0</v>
      </c>
      <c r="B1451" s="6">
        <v>251224.0</v>
      </c>
      <c r="C1451" s="4"/>
      <c r="D1451" s="7" t="s">
        <v>2764</v>
      </c>
      <c r="E1451" s="8" t="str">
        <f>IFERROR(__xludf.DUMMYFUNCTION("IF(
  LEN(TRIM(D1451))=0,
  ""왼쪽에 영어 문장을 입력하세요"",
  GOOGLETRANSLATE(D1451,""en"",""ko"")
)"),"5월~12월(11월, 10월) 결혼")</f>
        <v>5월~12월(11월, 10월) 결혼</v>
      </c>
      <c r="F1451" s="9" t="s">
        <v>2765</v>
      </c>
    </row>
    <row r="1452" ht="20.25" customHeight="1">
      <c r="A1452" s="5">
        <v>1528.0</v>
      </c>
      <c r="B1452" s="6">
        <v>251224.0</v>
      </c>
      <c r="C1452" s="4"/>
      <c r="D1452" s="7" t="s">
        <v>2766</v>
      </c>
      <c r="E1452" s="8" t="str">
        <f>IFERROR(__xludf.DUMMYFUNCTION("IF(
  LEN(TRIM(D1452))=0,
  ""왼쪽에 영어 문장을 입력하세요"",
  GOOGLETRANSLATE(D1452,""en"",""ko"")
)"),"정신 차려")</f>
        <v>정신 차려</v>
      </c>
      <c r="F1452" s="9" t="s">
        <v>2767</v>
      </c>
    </row>
    <row r="1453" ht="20.25" customHeight="1">
      <c r="A1453" s="5">
        <v>1529.0</v>
      </c>
      <c r="B1453" s="6">
        <v>251224.0</v>
      </c>
      <c r="C1453" s="4"/>
      <c r="D1453" s="7" t="s">
        <v>2768</v>
      </c>
      <c r="E1453" s="8" t="str">
        <f>IFERROR(__xludf.DUMMYFUNCTION("IF(
  LEN(TRIM(D1453))=0,
  ""왼쪽에 영어 문장을 입력하세요"",
  GOOGLETRANSLATE(D1453,""en"",""ko"")
)"),"감자")</f>
        <v>감자</v>
      </c>
      <c r="F1453" s="9" t="s">
        <v>2769</v>
      </c>
    </row>
    <row r="1454" ht="20.25" customHeight="1">
      <c r="A1454" s="5">
        <v>1530.0</v>
      </c>
      <c r="B1454" s="6">
        <v>251224.0</v>
      </c>
      <c r="C1454" s="4"/>
      <c r="D1454" s="7" t="s">
        <v>2770</v>
      </c>
      <c r="E1454" s="8" t="str">
        <f>IFERROR(__xludf.DUMMYFUNCTION("IF(
  LEN(TRIM(D1454))=0,
  ""왼쪽에 영어 문장을 입력하세요"",
  GOOGLETRANSLATE(D1454,""en"",""ko"")
)"),"벚나무")</f>
        <v>벚나무</v>
      </c>
      <c r="F1454" s="9" t="s">
        <v>2771</v>
      </c>
    </row>
    <row r="1455" ht="20.25" customHeight="1">
      <c r="A1455" s="5">
        <v>1531.0</v>
      </c>
      <c r="B1455" s="6">
        <v>251224.0</v>
      </c>
      <c r="C1455" s="4"/>
      <c r="D1455" s="7" t="s">
        <v>2772</v>
      </c>
      <c r="E1455" s="8" t="str">
        <f>IFERROR(__xludf.DUMMYFUNCTION("IF(
  LEN(TRIM(D1455))=0,
  ""왼쪽에 영어 문장을 입력하세요"",
  GOOGLETRANSLATE(D1455,""en"",""ko"")
)"),"추신")</f>
        <v>추신</v>
      </c>
      <c r="F1455" s="9" t="s">
        <v>2773</v>
      </c>
    </row>
    <row r="1456" ht="20.25" customHeight="1">
      <c r="A1456" s="5">
        <v>1532.0</v>
      </c>
      <c r="B1456" s="6">
        <v>251224.0</v>
      </c>
      <c r="C1456" s="4"/>
      <c r="D1456" s="7" t="s">
        <v>2774</v>
      </c>
      <c r="E1456" s="8" t="str">
        <f>IFERROR(__xludf.DUMMYFUNCTION("IF(
  LEN(TRIM(D1456))=0,
  ""왼쪽에 영어 문장을 입력하세요"",
  GOOGLETRANSLATE(D1456,""en"",""ko"")
)"),"참석 여부 회신")</f>
        <v>참석 여부 회신</v>
      </c>
      <c r="F1456" s="9" t="s">
        <v>2775</v>
      </c>
    </row>
    <row r="1457" ht="20.25" customHeight="1">
      <c r="A1457" s="5">
        <v>1533.0</v>
      </c>
      <c r="B1457" s="6">
        <v>251224.0</v>
      </c>
      <c r="C1457" s="4"/>
      <c r="D1457" s="7" t="s">
        <v>2776</v>
      </c>
      <c r="E1457" s="8" t="str">
        <f>IFERROR(__xludf.DUMMYFUNCTION("IF(
  LEN(TRIM(D1457))=0,
  ""왼쪽에 영어 문장을 입력하세요"",
  GOOGLETRANSLATE(D1457,""en"",""ko"")
)"),"무슨 불만이야?")</f>
        <v>무슨 불만이야?</v>
      </c>
      <c r="F1457" s="9" t="s">
        <v>2777</v>
      </c>
    </row>
    <row r="1458" ht="20.25" customHeight="1">
      <c r="A1458" s="5">
        <v>1534.0</v>
      </c>
      <c r="B1458" s="6">
        <v>251224.0</v>
      </c>
      <c r="C1458" s="4"/>
      <c r="D1458" s="7" t="s">
        <v>2778</v>
      </c>
      <c r="E1458" s="8" t="str">
        <f>IFERROR(__xludf.DUMMYFUNCTION("IF(
  LEN(TRIM(D1458))=0,
  ""왼쪽에 영어 문장을 입력하세요"",
  GOOGLETRANSLATE(D1458,""en"",""ko"")
)"),"소고기 세션")</f>
        <v>소고기 세션</v>
      </c>
      <c r="F1458" s="9" t="s">
        <v>2779</v>
      </c>
    </row>
    <row r="1459" ht="20.25" customHeight="1">
      <c r="A1459" s="5">
        <v>1535.0</v>
      </c>
      <c r="B1459" s="6">
        <v>251224.0</v>
      </c>
      <c r="C1459" s="4"/>
      <c r="D1459" s="7" t="s">
        <v>2780</v>
      </c>
      <c r="E1459" s="8" t="str">
        <f>IFERROR(__xludf.DUMMYFUNCTION("IF(
  LEN(TRIM(D1459))=0,
  ""왼쪽에 영어 문장을 입력하세요"",
  GOOGLETRANSLATE(D1459,""en"",""ko"")
)"),"일상적인 업무의 일부일 뿐이죠.")</f>
        <v>일상적인 업무의 일부일 뿐이죠.</v>
      </c>
      <c r="F1459" s="9" t="s">
        <v>2781</v>
      </c>
    </row>
    <row r="1460" ht="20.25" customHeight="1">
      <c r="A1460" s="5">
        <v>1536.0</v>
      </c>
      <c r="B1460" s="6">
        <v>251224.0</v>
      </c>
      <c r="C1460" s="4"/>
      <c r="D1460" s="7" t="s">
        <v>2782</v>
      </c>
      <c r="E1460" s="8" t="str">
        <f>IFERROR(__xludf.DUMMYFUNCTION("IF(
  LEN(TRIM(D1460))=0,
  ""왼쪽에 영어 문장을 입력하세요"",
  GOOGLETRANSLATE(D1460,""en"",""ko"")
)"),"열정 주간")</f>
        <v>열정 주간</v>
      </c>
      <c r="F1460" s="9" t="s">
        <v>2783</v>
      </c>
    </row>
    <row r="1461" ht="20.25" customHeight="1">
      <c r="A1461" s="5">
        <v>1537.0</v>
      </c>
      <c r="B1461" s="6">
        <v>251224.0</v>
      </c>
      <c r="C1461" s="4"/>
      <c r="D1461" s="7" t="s">
        <v>2784</v>
      </c>
      <c r="E1461" s="8" t="str">
        <f>IFERROR(__xludf.DUMMYFUNCTION("IF(
  LEN(TRIM(D1461))=0,
  ""왼쪽에 영어 문장을 입력하세요"",
  GOOGLETRANSLATE(D1461,""en"",""ko"")
)"),"Over (무전기교신)")</f>
        <v>Over (무전기교신)</v>
      </c>
      <c r="F1461" s="9" t="s">
        <v>2785</v>
      </c>
    </row>
    <row r="1462" ht="20.25" customHeight="1">
      <c r="A1462" s="5">
        <v>1538.0</v>
      </c>
      <c r="B1462" s="6">
        <v>251224.0</v>
      </c>
      <c r="C1462" s="4"/>
      <c r="D1462" s="7" t="s">
        <v>2786</v>
      </c>
      <c r="E1462" s="8" t="str">
        <f>IFERROR(__xludf.DUMMYFUNCTION("IF(
  LEN(TRIM(D1462))=0,
  ""왼쪽에 영어 문장을 입력하세요"",
  GOOGLETRANSLATE(D1462,""en"",""ko"")
)"),"Roger(무전기교신)")</f>
        <v>Roger(무전기교신)</v>
      </c>
      <c r="F1462" s="9" t="s">
        <v>2787</v>
      </c>
    </row>
    <row r="1463" ht="20.25" customHeight="1">
      <c r="A1463" s="5">
        <v>1539.0</v>
      </c>
      <c r="B1463" s="6">
        <v>251224.0</v>
      </c>
      <c r="C1463" s="4"/>
      <c r="D1463" s="7" t="s">
        <v>2788</v>
      </c>
      <c r="E1463" s="8" t="str">
        <f>IFERROR(__xludf.DUMMYFUNCTION("IF(
  LEN(TRIM(D1463))=0,
  ""왼쪽에 영어 문장을 입력하세요"",
  GOOGLETRANSLATE(D1463,""en"",""ko"")
)"),"페르소나 논 그라타")</f>
        <v>페르소나 논 그라타</v>
      </c>
      <c r="F1463" s="9" t="s">
        <v>2789</v>
      </c>
    </row>
    <row r="1464" ht="20.25" customHeight="1">
      <c r="A1464" s="5">
        <v>1540.0</v>
      </c>
      <c r="B1464" s="6">
        <v>251224.0</v>
      </c>
      <c r="C1464" s="4"/>
      <c r="D1464" s="7" t="s">
        <v>2790</v>
      </c>
      <c r="E1464" s="8" t="str">
        <f>IFERROR(__xludf.DUMMYFUNCTION("IF(
  LEN(TRIM(D1464))=0,
  ""왼쪽에 영어 문장을 입력하세요"",
  GOOGLETRANSLATE(D1464,""en"",""ko"")
)"),"특별히 그를 위하여")</f>
        <v>특별히 그를 위하여</v>
      </c>
      <c r="F1464" s="9" t="s">
        <v>2791</v>
      </c>
    </row>
    <row r="1465" ht="20.25" customHeight="1">
      <c r="A1465" s="5">
        <v>1541.0</v>
      </c>
      <c r="B1465" s="6">
        <v>251224.0</v>
      </c>
      <c r="C1465" s="4"/>
      <c r="D1465" s="7" t="s">
        <v>2792</v>
      </c>
      <c r="E1465" s="8" t="str">
        <f>IFERROR(__xludf.DUMMYFUNCTION("IF(
  LEN(TRIM(D1465))=0,
  ""왼쪽에 영어 문장을 입력하세요"",
  GOOGLETRANSLATE(D1465,""en"",""ko"")
)"),"또 다른 자아")</f>
        <v>또 다른 자아</v>
      </c>
      <c r="F1465" s="9" t="s">
        <v>2793</v>
      </c>
    </row>
    <row r="1466" ht="20.25" customHeight="1">
      <c r="A1466" s="5">
        <v>1542.0</v>
      </c>
      <c r="B1466" s="6">
        <v>251224.0</v>
      </c>
      <c r="C1466" s="4"/>
      <c r="D1466" s="7" t="s">
        <v>2794</v>
      </c>
      <c r="E1466" s="8" t="str">
        <f>IFERROR(__xludf.DUMMYFUNCTION("IF(
  LEN(TRIM(D1466))=0,
  ""왼쪽에 영어 문장을 입력하세요"",
  GOOGLETRANSLATE(D1466,""en"",""ko"")
)"),"모두스 비벤디")</f>
        <v>모두스 비벤디</v>
      </c>
      <c r="F1466" s="9" t="s">
        <v>2795</v>
      </c>
    </row>
    <row r="1467" ht="20.25" customHeight="1">
      <c r="A1467" s="5">
        <v>1543.0</v>
      </c>
      <c r="B1467" s="6">
        <v>251224.0</v>
      </c>
      <c r="C1467" s="4"/>
      <c r="D1467" s="7" t="s">
        <v>2796</v>
      </c>
      <c r="E1467" s="8" t="str">
        <f>IFERROR(__xludf.DUMMYFUNCTION("IF(
  LEN(TRIM(D1467))=0,
  ""왼쪽에 영어 문장을 입력하세요"",
  GOOGLETRANSLATE(D1467,""en"",""ko"")
)"),"반대로")</f>
        <v>반대로</v>
      </c>
      <c r="F1467" s="9" t="s">
        <v>2797</v>
      </c>
    </row>
    <row r="1468" ht="20.25" customHeight="1">
      <c r="A1468" s="5">
        <v>1544.0</v>
      </c>
      <c r="B1468" s="6">
        <v>251224.0</v>
      </c>
      <c r="C1468" s="4"/>
      <c r="D1468" s="7" t="s">
        <v>2798</v>
      </c>
      <c r="E1468" s="8" t="str">
        <f>IFERROR(__xludf.DUMMYFUNCTION("IF(
  LEN(TRIM(D1468))=0,
  ""왼쪽에 영어 문장을 입력하세요"",
  GOOGLETRANSLATE(D1468,""en"",""ko"")
)"),"그 자체로")</f>
        <v>그 자체로</v>
      </c>
      <c r="F1468" s="9" t="s">
        <v>2799</v>
      </c>
    </row>
    <row r="1469" ht="20.25" customHeight="1">
      <c r="A1469" s="5">
        <v>1545.0</v>
      </c>
      <c r="B1469" s="6">
        <v>251224.0</v>
      </c>
      <c r="C1469" s="4"/>
      <c r="D1469" s="7" t="s">
        <v>2800</v>
      </c>
      <c r="E1469" s="8" t="str">
        <f>IFERROR(__xludf.DUMMYFUNCTION("IF(
  LEN(TRIM(D1469))=0,
  ""왼쪽에 영어 문장을 입력하세요"",
  GOOGLETRANSLATE(D1469,""en"",""ko"")
)"),"진실한")</f>
        <v>진실한</v>
      </c>
      <c r="F1469" s="9" t="s">
        <v>2801</v>
      </c>
    </row>
    <row r="1470" ht="20.25" customHeight="1">
      <c r="A1470" s="5">
        <v>1546.0</v>
      </c>
      <c r="B1470" s="6">
        <v>251224.0</v>
      </c>
      <c r="C1470" s="4"/>
      <c r="D1470" s="7" t="s">
        <v>2802</v>
      </c>
      <c r="E1470" s="8" t="str">
        <f>IFERROR(__xludf.DUMMYFUNCTION("IF(
  LEN(TRIM(D1470))=0,
  ""왼쪽에 영어 문장을 입력하세요"",
  GOOGLETRANSLATE(D1470,""en"",""ko"")
)"),"대상물")</f>
        <v>대상물</v>
      </c>
      <c r="F1470" s="9" t="s">
        <v>2803</v>
      </c>
    </row>
    <row r="1471" ht="20.25" customHeight="1">
      <c r="A1471" s="5">
        <v>1547.0</v>
      </c>
      <c r="B1471" s="6">
        <v>251224.0</v>
      </c>
      <c r="C1471" s="4"/>
      <c r="D1471" s="7" t="s">
        <v>2804</v>
      </c>
      <c r="E1471" s="8" t="str">
        <f>IFERROR(__xludf.DUMMYFUNCTION("IF(
  LEN(TRIM(D1471))=0,
  ""왼쪽에 영어 문장을 입력하세요"",
  GOOGLETRANSLATE(D1471,""en"",""ko"")
)"),"내 잘못")</f>
        <v>내 잘못</v>
      </c>
      <c r="F1471" s="9" t="s">
        <v>2805</v>
      </c>
    </row>
    <row r="1472" ht="20.25" customHeight="1">
      <c r="A1472" s="5">
        <v>1548.0</v>
      </c>
      <c r="B1472" s="6">
        <v>251224.0</v>
      </c>
      <c r="C1472" s="4"/>
      <c r="D1472" s="7" t="s">
        <v>2806</v>
      </c>
      <c r="E1472" s="8" t="str">
        <f>IFERROR(__xludf.DUMMYFUNCTION("IF(
  LEN(TRIM(D1472))=0,
  ""왼쪽에 영어 문장을 입력하세요"",
  GOOGLETRANSLATE(D1472,""en"",""ko"")
)"),"버스터")</f>
        <v>버스터</v>
      </c>
      <c r="F1472" s="9" t="s">
        <v>2807</v>
      </c>
    </row>
    <row r="1473" ht="20.25" customHeight="1">
      <c r="A1473" s="5">
        <v>1549.0</v>
      </c>
      <c r="B1473" s="6">
        <v>251224.0</v>
      </c>
      <c r="C1473" s="4"/>
      <c r="D1473" s="7" t="s">
        <v>2808</v>
      </c>
      <c r="E1473" s="8" t="str">
        <f>IFERROR(__xludf.DUMMYFUNCTION("IF(
  LEN(TRIM(D1473))=0,
  ""왼쪽에 영어 문장을 입력하세요"",
  GOOGLETRANSLATE(D1473,""en"",""ko"")
)"),"정강이")</f>
        <v>정강이</v>
      </c>
      <c r="F1473" s="9" t="s">
        <v>2809</v>
      </c>
    </row>
    <row r="1474" ht="20.25" customHeight="1">
      <c r="A1474" s="5">
        <v>1550.0</v>
      </c>
      <c r="B1474" s="6">
        <v>251224.0</v>
      </c>
      <c r="C1474" s="4"/>
      <c r="D1474" s="7" t="s">
        <v>2810</v>
      </c>
      <c r="E1474" s="8" t="str">
        <f>IFERROR(__xludf.DUMMYFUNCTION("IF(
  LEN(TRIM(D1474))=0,
  ""왼쪽에 영어 문장을 입력하세요"",
  GOOGLETRANSLATE(D1474,""en"",""ko"")
)"),"멍든")</f>
        <v>멍든</v>
      </c>
      <c r="F1474" s="9" t="s">
        <v>2811</v>
      </c>
    </row>
    <row r="1475" ht="20.25" customHeight="1">
      <c r="A1475" s="5">
        <v>1551.0</v>
      </c>
      <c r="B1475" s="6">
        <v>251224.0</v>
      </c>
      <c r="C1475" s="4"/>
      <c r="D1475" s="7" t="s">
        <v>2812</v>
      </c>
      <c r="E1475" s="8" t="str">
        <f>IFERROR(__xludf.DUMMYFUNCTION("IF(
  LEN(TRIM(D1475))=0,
  ""왼쪽에 영어 문장을 입력하세요"",
  GOOGLETRANSLATE(D1475,""en"",""ko"")
)"),"절름발이")</f>
        <v>절름발이</v>
      </c>
      <c r="F1475" s="9" t="s">
        <v>2813</v>
      </c>
    </row>
    <row r="1476" ht="20.25" customHeight="1">
      <c r="A1476" s="5">
        <v>1552.0</v>
      </c>
      <c r="B1476" s="6">
        <v>251224.0</v>
      </c>
      <c r="C1476" s="4"/>
      <c r="D1476" s="7" t="s">
        <v>2814</v>
      </c>
      <c r="E1476" s="8" t="str">
        <f>IFERROR(__xludf.DUMMYFUNCTION("IF(
  LEN(TRIM(D1476))=0,
  ""왼쪽에 영어 문장을 입력하세요"",
  GOOGLETRANSLATE(D1476,""en"",""ko"")
)"),"여기 있어요")</f>
        <v>여기 있어요</v>
      </c>
      <c r="F1476" s="9" t="s">
        <v>2815</v>
      </c>
    </row>
    <row r="1477" ht="20.25" customHeight="1">
      <c r="A1477" s="5">
        <v>1553.0</v>
      </c>
      <c r="B1477" s="6">
        <v>251224.0</v>
      </c>
      <c r="C1477" s="4"/>
      <c r="D1477" s="7" t="s">
        <v>2816</v>
      </c>
      <c r="E1477" s="8" t="str">
        <f>IFERROR(__xludf.DUMMYFUNCTION("IF(
  LEN(TRIM(D1477))=0,
  ""왼쪽에 영어 문장을 입력하세요"",
  GOOGLETRANSLATE(D1477,""en"",""ko"")
)"),"사람을 딴 길로 인도하다")</f>
        <v>사람을 딴 길로 인도하다</v>
      </c>
      <c r="F1477" s="9" t="s">
        <v>2817</v>
      </c>
    </row>
    <row r="1478" ht="20.25" customHeight="1">
      <c r="A1478" s="5">
        <v>1554.0</v>
      </c>
      <c r="B1478" s="6">
        <v>251224.0</v>
      </c>
      <c r="C1478" s="4"/>
      <c r="D1478" s="7" t="s">
        <v>2818</v>
      </c>
      <c r="E1478" s="8" t="str">
        <f>IFERROR(__xludf.DUMMYFUNCTION("IF(
  LEN(TRIM(D1478))=0,
  ""왼쪽에 영어 문장을 입력하세요"",
  GOOGLETRANSLATE(D1478,""en"",""ko"")
)"),"멍청이")</f>
        <v>멍청이</v>
      </c>
      <c r="F1478" s="9" t="s">
        <v>2819</v>
      </c>
    </row>
    <row r="1479" ht="20.25" customHeight="1">
      <c r="A1479" s="5">
        <v>1555.0</v>
      </c>
      <c r="B1479" s="6">
        <v>251224.0</v>
      </c>
      <c r="C1479" s="4"/>
      <c r="D1479" s="7" t="s">
        <v>2820</v>
      </c>
      <c r="E1479" s="8" t="str">
        <f>IFERROR(__xludf.DUMMYFUNCTION("IF(
  LEN(TRIM(D1479))=0,
  ""왼쪽에 영어 문장을 입력하세요"",
  GOOGLETRANSLATE(D1479,""en"",""ko"")
)"),"왜 이렇게 서두르세요?")</f>
        <v>왜 이렇게 서두르세요?</v>
      </c>
      <c r="F1479" s="9" t="s">
        <v>2821</v>
      </c>
    </row>
    <row r="1480" ht="20.25" customHeight="1">
      <c r="A1480" s="5">
        <v>1556.0</v>
      </c>
      <c r="B1480" s="6">
        <v>251224.0</v>
      </c>
      <c r="C1480" s="4"/>
      <c r="D1480" s="7" t="s">
        <v>2822</v>
      </c>
      <c r="E1480" s="8" t="str">
        <f>IFERROR(__xludf.DUMMYFUNCTION("IF(
  LEN(TRIM(D1480))=0,
  ""왼쪽에 영어 문장을 입력하세요"",
  GOOGLETRANSLATE(D1480,""en"",""ko"")
)"),"배려심 없는")</f>
        <v>배려심 없는</v>
      </c>
      <c r="F1480" s="9" t="s">
        <v>2823</v>
      </c>
    </row>
    <row r="1481" ht="20.25" customHeight="1">
      <c r="A1481" s="5">
        <v>1557.0</v>
      </c>
      <c r="B1481" s="6">
        <v>251224.0</v>
      </c>
      <c r="C1481" s="4"/>
      <c r="D1481" s="7" t="s">
        <v>2824</v>
      </c>
      <c r="E1481" s="8" t="str">
        <f>IFERROR(__xludf.DUMMYFUNCTION("IF(
  LEN(TRIM(D1481))=0,
  ""왼쪽에 영어 문장을 입력하세요"",
  GOOGLETRANSLATE(D1481,""en"",""ko"")
)"),"힘내세요")</f>
        <v>힘내세요</v>
      </c>
      <c r="F1481" s="9" t="s">
        <v>2825</v>
      </c>
    </row>
    <row r="1482" ht="20.25" customHeight="1">
      <c r="A1482" s="5">
        <v>1558.0</v>
      </c>
      <c r="B1482" s="6">
        <v>251224.0</v>
      </c>
      <c r="C1482" s="4"/>
      <c r="D1482" s="7" t="s">
        <v>2826</v>
      </c>
      <c r="E1482" s="8" t="str">
        <f>IFERROR(__xludf.DUMMYFUNCTION("IF(
  LEN(TRIM(D1482))=0,
  ""왼쪽에 영어 문장을 입력하세요"",
  GOOGLETRANSLATE(D1482,""en"",""ko"")
)"),"새끼")</f>
        <v>새끼</v>
      </c>
      <c r="F1482" s="9" t="s">
        <v>2827</v>
      </c>
    </row>
    <row r="1483" ht="20.25" customHeight="1">
      <c r="A1483" s="5">
        <v>1559.0</v>
      </c>
      <c r="B1483" s="6">
        <v>251224.0</v>
      </c>
      <c r="C1483" s="4"/>
      <c r="D1483" s="7" t="s">
        <v>2828</v>
      </c>
      <c r="E1483" s="8" t="str">
        <f>IFERROR(__xludf.DUMMYFUNCTION("IF(
  LEN(TRIM(D1483))=0,
  ""왼쪽에 영어 문장을 입력하세요"",
  GOOGLETRANSLATE(D1483,""en"",""ko"")
)"),"스텝 경기")</f>
        <v>스텝 경기</v>
      </c>
      <c r="F1483" s="9" t="s">
        <v>2829</v>
      </c>
    </row>
    <row r="1484" ht="20.25" customHeight="1">
      <c r="A1484" s="5">
        <v>1560.0</v>
      </c>
      <c r="B1484" s="6">
        <v>251224.0</v>
      </c>
      <c r="C1484" s="4"/>
      <c r="D1484" s="7" t="s">
        <v>2830</v>
      </c>
      <c r="E1484" s="8" t="str">
        <f>IFERROR(__xludf.DUMMYFUNCTION("IF(
  LEN(TRIM(D1484))=0,
  ""왼쪽에 영어 문장을 입력하세요"",
  GOOGLETRANSLATE(D1484,""en"",""ko"")
)"),"일석이조")</f>
        <v>일석이조</v>
      </c>
      <c r="F1484" s="9" t="s">
        <v>2831</v>
      </c>
    </row>
    <row r="1485" ht="20.25" customHeight="1">
      <c r="A1485" s="5">
        <v>1561.0</v>
      </c>
      <c r="B1485" s="6">
        <v>251224.0</v>
      </c>
      <c r="C1485" s="4"/>
      <c r="D1485" s="7" t="s">
        <v>2832</v>
      </c>
      <c r="E1485" s="8" t="str">
        <f>IFERROR(__xludf.DUMMYFUNCTION("IF(
  LEN(TRIM(D1485))=0,
  ""왼쪽에 영어 문장을 입력하세요"",
  GOOGLETRANSLATE(D1485,""en"",""ko"")
)"),"비열한")</f>
        <v>비열한</v>
      </c>
      <c r="F1485" s="9" t="s">
        <v>2833</v>
      </c>
    </row>
    <row r="1486" ht="20.25" customHeight="1">
      <c r="A1486" s="5">
        <v>1562.0</v>
      </c>
      <c r="B1486" s="6">
        <v>251224.0</v>
      </c>
      <c r="C1486" s="4"/>
      <c r="D1486" s="7" t="s">
        <v>2834</v>
      </c>
      <c r="E1486" s="8" t="str">
        <f>IFERROR(__xludf.DUMMYFUNCTION("IF(
  LEN(TRIM(D1486))=0,
  ""왼쪽에 영어 문장을 입력하세요"",
  GOOGLETRANSLATE(D1486,""en"",""ko"")
)"),"속물")</f>
        <v>속물</v>
      </c>
      <c r="F1486" s="9" t="s">
        <v>2835</v>
      </c>
    </row>
    <row r="1487" ht="20.25" customHeight="1">
      <c r="A1487" s="5">
        <v>1563.0</v>
      </c>
      <c r="B1487" s="6">
        <v>251224.0</v>
      </c>
      <c r="C1487" s="4"/>
      <c r="D1487" s="7" t="s">
        <v>2836</v>
      </c>
      <c r="E1487" s="8" t="str">
        <f>IFERROR(__xludf.DUMMYFUNCTION("IF(
  LEN(TRIM(D1487))=0,
  ""왼쪽에 영어 문장을 입력하세요"",
  GOOGLETRANSLATE(D1487,""en"",""ko"")
)"),"배송 시 수령")</f>
        <v>배송 시 수령</v>
      </c>
      <c r="F1487" s="9" t="s">
        <v>2837</v>
      </c>
    </row>
    <row r="1488" ht="20.25" customHeight="1">
      <c r="A1488" s="5">
        <v>1564.0</v>
      </c>
      <c r="B1488" s="6">
        <v>251224.0</v>
      </c>
      <c r="C1488" s="4"/>
      <c r="D1488" s="7" t="s">
        <v>2838</v>
      </c>
      <c r="E1488" s="8" t="str">
        <f>IFERROR(__xludf.DUMMYFUNCTION("IF(
  LEN(TRIM(D1488))=0,
  ""왼쪽에 영어 문장을 입력하세요"",
  GOOGLETRANSLATE(D1488,""en"",""ko"")
)"),"고인")</f>
        <v>고인</v>
      </c>
      <c r="F1488" s="9" t="s">
        <v>2839</v>
      </c>
    </row>
    <row r="1489" ht="20.25" customHeight="1">
      <c r="A1489" s="5">
        <v>1565.0</v>
      </c>
      <c r="B1489" s="6">
        <v>251224.0</v>
      </c>
      <c r="C1489" s="4"/>
      <c r="D1489" s="7" t="s">
        <v>2840</v>
      </c>
      <c r="E1489" s="8" t="str">
        <f>IFERROR(__xludf.DUMMYFUNCTION("IF(
  LEN(TRIM(D1489))=0,
  ""왼쪽에 영어 문장을 입력하세요"",
  GOOGLETRANSLATE(D1489,""en"",""ko"")
)"),"원한")</f>
        <v>원한</v>
      </c>
      <c r="F1489" s="9" t="s">
        <v>2841</v>
      </c>
    </row>
    <row r="1490" ht="20.25" customHeight="1">
      <c r="A1490" s="5">
        <v>1566.0</v>
      </c>
      <c r="B1490" s="6">
        <v>251224.0</v>
      </c>
      <c r="C1490" s="4"/>
      <c r="D1490" s="7" t="s">
        <v>2842</v>
      </c>
      <c r="E1490" s="8" t="str">
        <f>IFERROR(__xludf.DUMMYFUNCTION("IF(
  LEN(TRIM(D1490))=0,
  ""왼쪽에 영어 문장을 입력하세요"",
  GOOGLETRANSLATE(D1490,""en"",""ko"")
)"),"경솔한")</f>
        <v>경솔한</v>
      </c>
      <c r="F1490" s="9" t="s">
        <v>2843</v>
      </c>
    </row>
    <row r="1491" ht="20.25" customHeight="1">
      <c r="A1491" s="5">
        <v>1567.0</v>
      </c>
      <c r="B1491" s="6">
        <v>251224.0</v>
      </c>
      <c r="C1491" s="4"/>
      <c r="D1491" s="7" t="s">
        <v>2844</v>
      </c>
      <c r="E1491" s="8" t="str">
        <f>IFERROR(__xludf.DUMMYFUNCTION("IF(
  LEN(TRIM(D1491))=0,
  ""왼쪽에 영어 문장을 입력하세요"",
  GOOGLETRANSLATE(D1491,""en"",""ko"")
)"),"본론으로 들어가죠.")</f>
        <v>본론으로 들어가죠.</v>
      </c>
      <c r="F1491" s="9" t="s">
        <v>2845</v>
      </c>
    </row>
    <row r="1492" ht="20.25" customHeight="1">
      <c r="A1492" s="5">
        <v>1568.0</v>
      </c>
      <c r="B1492" s="6">
        <v>251224.0</v>
      </c>
      <c r="C1492" s="4"/>
      <c r="D1492" s="7" t="s">
        <v>2846</v>
      </c>
      <c r="E1492" s="8" t="str">
        <f>IFERROR(__xludf.DUMMYFUNCTION("IF(
  LEN(TRIM(D1492))=0,
  ""왼쪽에 영어 문장을 입력하세요"",
  GOOGLETRANSLATE(D1492,""en"",""ko"")
)"),"그들에게 내 생각을 좀 말해줄 거야.")</f>
        <v>그들에게 내 생각을 좀 말해줄 거야.</v>
      </c>
      <c r="F1492" s="9" t="s">
        <v>2847</v>
      </c>
    </row>
    <row r="1493" ht="20.25" customHeight="1">
      <c r="A1493" s="5">
        <v>1569.0</v>
      </c>
      <c r="B1493" s="6">
        <v>251224.0</v>
      </c>
      <c r="C1493" s="4"/>
      <c r="D1493" s="7" t="s">
        <v>2848</v>
      </c>
      <c r="E1493" s="8" t="str">
        <f>IFERROR(__xludf.DUMMYFUNCTION("IF(
  LEN(TRIM(D1493))=0,
  ""왼쪽에 영어 문장을 입력하세요"",
  GOOGLETRANSLATE(D1493,""en"",""ko"")
)"),"무임승차자")</f>
        <v>무임승차자</v>
      </c>
      <c r="F1493" s="9" t="s">
        <v>2849</v>
      </c>
    </row>
    <row r="1494" ht="20.25" customHeight="1">
      <c r="A1494" s="5">
        <v>1570.0</v>
      </c>
      <c r="B1494" s="6">
        <v>251224.0</v>
      </c>
      <c r="C1494" s="4"/>
      <c r="D1494" s="7" t="s">
        <v>2850</v>
      </c>
      <c r="E1494" s="8" t="str">
        <f>IFERROR(__xludf.DUMMYFUNCTION("IF(
  LEN(TRIM(D1494))=0,
  ""왼쪽에 영어 문장을 입력하세요"",
  GOOGLETRANSLATE(D1494,""en"",""ko"")
)"),"나는 그들을 눈감아 줄 거야")</f>
        <v>나는 그들을 눈감아 줄 거야</v>
      </c>
      <c r="F1494" s="9" t="s">
        <v>2851</v>
      </c>
    </row>
    <row r="1495" ht="20.25" customHeight="1">
      <c r="A1495" s="5">
        <v>1571.0</v>
      </c>
      <c r="B1495" s="6">
        <v>251224.0</v>
      </c>
      <c r="C1495" s="4"/>
      <c r="D1495" s="7" t="s">
        <v>2852</v>
      </c>
      <c r="E1495" s="8" t="str">
        <f>IFERROR(__xludf.DUMMYFUNCTION("IF(
  LEN(TRIM(D1495))=0,
  ""왼쪽에 영어 문장을 입력하세요"",
  GOOGLETRANSLATE(D1495,""en"",""ko"")
)"),"우리는 그에게 비할 바가 못 된다")</f>
        <v>우리는 그에게 비할 바가 못 된다</v>
      </c>
      <c r="F1495" s="9" t="s">
        <v>2853</v>
      </c>
    </row>
    <row r="1496" ht="20.25" customHeight="1">
      <c r="A1496" s="5">
        <v>1572.0</v>
      </c>
      <c r="B1496" s="6">
        <v>251224.0</v>
      </c>
      <c r="C1496" s="4"/>
      <c r="D1496" s="7" t="s">
        <v>2854</v>
      </c>
      <c r="E1496" s="8" t="str">
        <f>IFERROR(__xludf.DUMMYFUNCTION("IF(
  LEN(TRIM(D1496))=0,
  ""왼쪽에 영어 문장을 입력하세요"",
  GOOGLETRANSLATE(D1496,""en"",""ko"")
)"),"용돈")</f>
        <v>용돈</v>
      </c>
      <c r="F1496" s="9" t="s">
        <v>2855</v>
      </c>
    </row>
    <row r="1497" ht="20.25" customHeight="1">
      <c r="A1497" s="5">
        <v>1573.0</v>
      </c>
      <c r="B1497" s="6">
        <v>251224.0</v>
      </c>
      <c r="C1497" s="4"/>
      <c r="D1497" s="7" t="s">
        <v>2856</v>
      </c>
      <c r="E1497" s="8" t="str">
        <f>IFERROR(__xludf.DUMMYFUNCTION("IF(
  LEN(TRIM(D1497))=0,
  ""왼쪽에 영어 문장을 입력하세요"",
  GOOGLETRANSLATE(D1497,""en"",""ko"")
)"),"입이 거친")</f>
        <v>입이 거친</v>
      </c>
      <c r="F1497" s="9" t="s">
        <v>2857</v>
      </c>
    </row>
    <row r="1498" ht="20.25" customHeight="1">
      <c r="A1498" s="5">
        <v>1574.0</v>
      </c>
      <c r="B1498" s="6">
        <v>251224.0</v>
      </c>
      <c r="C1498" s="4"/>
      <c r="D1498" s="7" t="s">
        <v>2858</v>
      </c>
      <c r="E1498" s="8" t="str">
        <f>IFERROR(__xludf.DUMMYFUNCTION("IF(
  LEN(TRIM(D1498))=0,
  ""왼쪽에 영어 문장을 입력하세요"",
  GOOGLETRANSLATE(D1498,""en"",""ko"")
)"),"지금 누군가의 심기를 건드리려는 건가요?")</f>
        <v>지금 누군가의 심기를 건드리려는 건가요?</v>
      </c>
      <c r="F1498" s="9" t="s">
        <v>2859</v>
      </c>
    </row>
    <row r="1499" ht="20.25" customHeight="1">
      <c r="A1499" s="5">
        <v>1575.0</v>
      </c>
      <c r="B1499" s="6">
        <v>251224.0</v>
      </c>
      <c r="C1499" s="4"/>
      <c r="D1499" s="7" t="s">
        <v>2860</v>
      </c>
      <c r="E1499" s="8" t="str">
        <f>IFERROR(__xludf.DUMMYFUNCTION("IF(
  LEN(TRIM(D1499))=0,
  ""왼쪽에 영어 문장을 입력하세요"",
  GOOGLETRANSLATE(D1499,""en"",""ko"")
)"),"너무 우쭐해하지 마세요!")</f>
        <v>너무 우쭐해하지 마세요!</v>
      </c>
      <c r="F1499" s="9" t="s">
        <v>2861</v>
      </c>
    </row>
    <row r="1500" ht="20.25" customHeight="1">
      <c r="A1500" s="5">
        <v>1576.0</v>
      </c>
      <c r="B1500" s="6">
        <v>251231.0</v>
      </c>
      <c r="C1500" s="4"/>
      <c r="D1500" s="10" t="s">
        <v>2862</v>
      </c>
      <c r="E1500" s="8" t="str">
        <f>IFERROR(__xludf.DUMMYFUNCTION("IF(
  LEN(TRIM(D1500))=0,
  ""왼쪽에 영어 문장을 입력하세요"",
  GOOGLETRANSLATE(D1500,""en"",""ko"")
)"),"크게 만들어")</f>
        <v>크게 만들어</v>
      </c>
      <c r="F1500" s="10" t="s">
        <v>2863</v>
      </c>
    </row>
    <row r="1501" ht="20.25" customHeight="1">
      <c r="A1501" s="5">
        <v>1577.0</v>
      </c>
      <c r="B1501" s="6">
        <v>251231.0</v>
      </c>
      <c r="C1501" s="4"/>
      <c r="D1501" s="10" t="s">
        <v>2864</v>
      </c>
      <c r="E1501" s="8" t="str">
        <f>IFERROR(__xludf.DUMMYFUNCTION("IF(
  LEN(TRIM(D1501))=0,
  ""왼쪽에 영어 문장을 입력하세요"",
  GOOGLETRANSLATE(D1501,""en"",""ko"")
)"),"모든 달걀을 한 바구니에 담지 마세요")</f>
        <v>모든 달걀을 한 바구니에 담지 마세요</v>
      </c>
      <c r="F1501" s="10" t="s">
        <v>2865</v>
      </c>
    </row>
    <row r="1502" ht="20.25" customHeight="1">
      <c r="A1502" s="5">
        <v>1578.0</v>
      </c>
      <c r="B1502" s="6">
        <v>251231.0</v>
      </c>
      <c r="C1502" s="4"/>
      <c r="D1502" s="10" t="s">
        <v>2866</v>
      </c>
      <c r="E1502" s="8" t="str">
        <f>IFERROR(__xludf.DUMMYFUNCTION("IF(
  LEN(TRIM(D1502))=0,
  ""왼쪽에 영어 문장을 입력하세요"",
  GOOGLETRANSLATE(D1502,""en"",""ko"")
)"),"무언가를 이끌어내다")</f>
        <v>무언가를 이끌어내다</v>
      </c>
      <c r="F1502" s="10" t="s">
        <v>2867</v>
      </c>
    </row>
    <row r="1503" ht="20.25" customHeight="1">
      <c r="A1503" s="5">
        <v>1579.0</v>
      </c>
      <c r="B1503" s="6">
        <v>251231.0</v>
      </c>
      <c r="C1503" s="4"/>
      <c r="D1503" s="10" t="s">
        <v>2868</v>
      </c>
      <c r="E1503" s="8" t="str">
        <f>IFERROR(__xludf.DUMMYFUNCTION("IF(
  LEN(TRIM(D1503))=0,
  ""왼쪽에 영어 문장을 입력하세요"",
  GOOGLETRANSLATE(D1503,""en"",""ko"")
)"),"회고적")</f>
        <v>회고적</v>
      </c>
      <c r="F1503" s="10" t="s">
        <v>2869</v>
      </c>
    </row>
    <row r="1504" ht="20.25" customHeight="1">
      <c r="A1504" s="5">
        <v>1580.0</v>
      </c>
      <c r="B1504" s="6">
        <v>251231.0</v>
      </c>
      <c r="C1504" s="4"/>
      <c r="D1504" s="10" t="s">
        <v>2870</v>
      </c>
      <c r="E1504" s="8" t="str">
        <f>IFERROR(__xludf.DUMMYFUNCTION("IF(
  LEN(TRIM(D1504))=0,
  ""왼쪽에 영어 문장을 입력하세요"",
  GOOGLETRANSLATE(D1504,""en"",""ko"")
)"),"전망")</f>
        <v>전망</v>
      </c>
      <c r="F1504" s="10" t="s">
        <v>2871</v>
      </c>
    </row>
    <row r="1505" ht="20.25" customHeight="1">
      <c r="A1505" s="5">
        <v>1581.0</v>
      </c>
      <c r="B1505" s="6">
        <v>251231.0</v>
      </c>
      <c r="C1505" s="4"/>
      <c r="D1505" s="10" t="s">
        <v>2872</v>
      </c>
      <c r="E1505" s="8" t="str">
        <f>IFERROR(__xludf.DUMMYFUNCTION("IF(
  LEN(TRIM(D1505))=0,
  ""왼쪽에 영어 문장을 입력하세요"",
  GOOGLETRANSLATE(D1505,""en"",""ko"")
)"),"거북이가 토끼를 이긴다")</f>
        <v>거북이가 토끼를 이긴다</v>
      </c>
      <c r="F1505" s="10" t="s">
        <v>2873</v>
      </c>
    </row>
    <row r="1506" ht="20.25" customHeight="1">
      <c r="A1506" s="5">
        <v>1582.0</v>
      </c>
      <c r="B1506" s="6">
        <v>251231.0</v>
      </c>
      <c r="C1506" s="4"/>
      <c r="D1506" s="10" t="s">
        <v>2504</v>
      </c>
      <c r="E1506" s="8" t="str">
        <f>IFERROR(__xludf.DUMMYFUNCTION("IF(
  LEN(TRIM(D1506))=0,
  ""왼쪽에 영어 문장을 입력하세요"",
  GOOGLETRANSLATE(D1506,""en"",""ko"")
)"),"명예교수")</f>
        <v>명예교수</v>
      </c>
      <c r="F1506" s="10" t="s">
        <v>2874</v>
      </c>
    </row>
    <row r="1507" ht="20.25" customHeight="1">
      <c r="A1507" s="5">
        <v>1583.0</v>
      </c>
      <c r="B1507" s="6">
        <v>251231.0</v>
      </c>
      <c r="C1507" s="4"/>
      <c r="D1507" s="10" t="s">
        <v>2875</v>
      </c>
      <c r="E1507" s="8" t="str">
        <f>IFERROR(__xludf.DUMMYFUNCTION("IF(
  LEN(TRIM(D1507))=0,
  ""왼쪽에 영어 문장을 입력하세요"",
  GOOGLETRANSLATE(D1507,""en"",""ko"")
)"),"명예교수")</f>
        <v>명예교수</v>
      </c>
      <c r="F1507" s="10" t="s">
        <v>2876</v>
      </c>
    </row>
    <row r="1508" ht="20.25" customHeight="1">
      <c r="A1508" s="5">
        <v>1584.0</v>
      </c>
      <c r="B1508" s="6">
        <v>251231.0</v>
      </c>
      <c r="C1508" s="4"/>
      <c r="D1508" s="10" t="s">
        <v>2877</v>
      </c>
      <c r="E1508" s="8" t="str">
        <f>IFERROR(__xludf.DUMMYFUNCTION("IF(
  LEN(TRIM(D1508))=0,
  ""왼쪽에 영어 문장을 입력하세요"",
  GOOGLETRANSLATE(D1508,""en"",""ko"")
)"),"수상자")</f>
        <v>수상자</v>
      </c>
      <c r="F1508" s="10" t="s">
        <v>2878</v>
      </c>
    </row>
    <row r="1509" ht="20.25" customHeight="1">
      <c r="A1509" s="5">
        <v>1585.0</v>
      </c>
      <c r="B1509" s="6">
        <v>251231.0</v>
      </c>
      <c r="C1509" s="4"/>
      <c r="D1509" s="10" t="s">
        <v>2879</v>
      </c>
      <c r="E1509" s="8" t="str">
        <f>IFERROR(__xludf.DUMMYFUNCTION("IF(
  LEN(TRIM(D1509))=0,
  ""왼쪽에 영어 문장을 입력하세요"",
  GOOGLETRANSLATE(D1509,""en"",""ko"")
)"),"노벨상 수상자")</f>
        <v>노벨상 수상자</v>
      </c>
      <c r="F1509" s="10" t="s">
        <v>2880</v>
      </c>
    </row>
    <row r="1510" ht="20.25" customHeight="1">
      <c r="A1510" s="5">
        <v>1586.0</v>
      </c>
      <c r="B1510" s="6">
        <v>251231.0</v>
      </c>
      <c r="C1510" s="4"/>
      <c r="D1510" s="10" t="s">
        <v>2881</v>
      </c>
      <c r="E1510" s="8" t="str">
        <f>IFERROR(__xludf.DUMMYFUNCTION("IF(
  LEN(TRIM(D1510))=0,
  ""왼쪽에 영어 문장을 입력하세요"",
  GOOGLETRANSLATE(D1510,""en"",""ko"")
)"),"규율")</f>
        <v>규율</v>
      </c>
      <c r="F1510" s="10" t="s">
        <v>2882</v>
      </c>
    </row>
    <row r="1511" ht="20.25" customHeight="1">
      <c r="A1511" s="5">
        <v>1587.0</v>
      </c>
      <c r="B1511" s="6">
        <v>251231.0</v>
      </c>
      <c r="C1511" s="4"/>
      <c r="D1511" s="10" t="s">
        <v>2883</v>
      </c>
      <c r="E1511" s="8" t="str">
        <f>IFERROR(__xludf.DUMMYFUNCTION("IF(
  LEN(TRIM(D1511))=0,
  ""왼쪽에 영어 문장을 입력하세요"",
  GOOGLETRANSLATE(D1511,""en"",""ko"")
)"),"작은 첨탑")</f>
        <v>작은 첨탑</v>
      </c>
      <c r="F1511" s="10" t="s">
        <v>2884</v>
      </c>
    </row>
    <row r="1512" ht="20.25" customHeight="1">
      <c r="A1512" s="5">
        <v>1588.0</v>
      </c>
      <c r="B1512" s="6">
        <v>251231.0</v>
      </c>
      <c r="C1512" s="4"/>
      <c r="D1512" s="10" t="s">
        <v>2885</v>
      </c>
      <c r="E1512" s="8" t="str">
        <f>IFERROR(__xludf.DUMMYFUNCTION("IF(
  LEN(TRIM(D1512))=0,
  ""왼쪽에 영어 문장을 입력하세요"",
  GOOGLETRANSLATE(D1512,""en"",""ko"")
)"),"접근 금지")</f>
        <v>접근 금지</v>
      </c>
      <c r="F1512" s="10" t="s">
        <v>2886</v>
      </c>
    </row>
    <row r="1513" ht="20.25" customHeight="1">
      <c r="A1513" s="5">
        <v>1589.0</v>
      </c>
      <c r="B1513" s="6">
        <v>251231.0</v>
      </c>
      <c r="C1513" s="4"/>
      <c r="D1513" s="10" t="s">
        <v>2887</v>
      </c>
      <c r="E1513" s="8" t="str">
        <f>IFERROR(__xludf.DUMMYFUNCTION("IF(
  LEN(TRIM(D1513))=0,
  ""왼쪽에 영어 문장을 입력하세요"",
  GOOGLETRANSLATE(D1513,""en"",""ko"")
)"),"늦게 꽃피는 사람")</f>
        <v>늦게 꽃피는 사람</v>
      </c>
      <c r="F1513" s="10" t="s">
        <v>2888</v>
      </c>
    </row>
    <row r="1514" ht="20.25" customHeight="1">
      <c r="A1514" s="5">
        <v>1590.0</v>
      </c>
      <c r="B1514" s="6">
        <v>251231.0</v>
      </c>
      <c r="C1514" s="4"/>
      <c r="D1514" s="10" t="s">
        <v>2889</v>
      </c>
      <c r="E1514" s="8" t="str">
        <f>IFERROR(__xludf.DUMMYFUNCTION("IF(
  LEN(TRIM(D1514))=0,
  ""왼쪽에 영어 문장을 입력하세요"",
  GOOGLETRANSLATE(D1514,""en"",""ko"")
)"),"신동")</f>
        <v>신동</v>
      </c>
      <c r="F1514" s="10" t="s">
        <v>2890</v>
      </c>
    </row>
    <row r="1515" ht="20.25" customHeight="1">
      <c r="A1515" s="5">
        <v>1591.0</v>
      </c>
      <c r="B1515" s="6">
        <v>251231.0</v>
      </c>
      <c r="C1515" s="4"/>
      <c r="D1515" s="10" t="s">
        <v>2891</v>
      </c>
      <c r="E1515" s="8" t="str">
        <f>IFERROR(__xludf.DUMMYFUNCTION("IF(
  LEN(TRIM(D1515))=0,
  ""왼쪽에 영어 문장을 입력하세요"",
  GOOGLETRANSLATE(D1515,""en"",""ko"")
)"),"6자리 숫자의 보너스")</f>
        <v>6자리 숫자의 보너스</v>
      </c>
      <c r="F1515" s="10" t="s">
        <v>2892</v>
      </c>
    </row>
    <row r="1516" ht="20.25" customHeight="1">
      <c r="A1516" s="5">
        <v>1592.0</v>
      </c>
      <c r="B1516" s="6">
        <v>251231.0</v>
      </c>
      <c r="C1516" s="4"/>
      <c r="D1516" s="10" t="s">
        <v>2893</v>
      </c>
      <c r="E1516" s="8" t="str">
        <f>IFERROR(__xludf.DUMMYFUNCTION("IF(
  LEN(TRIM(D1516))=0,
  ""왼쪽에 영어 문장을 입력하세요"",
  GOOGLETRANSLATE(D1516,""en"",""ko"")
)"),"떠나다")</f>
        <v>떠나다</v>
      </c>
      <c r="F1516" s="10" t="s">
        <v>2894</v>
      </c>
    </row>
    <row r="1517" ht="20.25" customHeight="1">
      <c r="A1517" s="5">
        <v>1593.0</v>
      </c>
      <c r="B1517" s="6">
        <v>251231.0</v>
      </c>
      <c r="C1517" s="4"/>
      <c r="D1517" s="10" t="s">
        <v>2895</v>
      </c>
      <c r="E1517" s="8" t="str">
        <f>IFERROR(__xludf.DUMMYFUNCTION("IF(
  LEN(TRIM(D1517))=0,
  ""왼쪽에 영어 문장을 입력하세요"",
  GOOGLETRANSLATE(D1517,""en"",""ko"")
)"),"지나쳐 가세요")</f>
        <v>지나쳐 가세요</v>
      </c>
      <c r="F1517" s="10" t="s">
        <v>2896</v>
      </c>
    </row>
    <row r="1518" ht="20.25" customHeight="1">
      <c r="A1518" s="5">
        <v>1594.0</v>
      </c>
      <c r="B1518" s="6">
        <v>251231.0</v>
      </c>
      <c r="C1518" s="4"/>
      <c r="D1518" s="10" t="s">
        <v>2897</v>
      </c>
      <c r="E1518" s="8" t="str">
        <f>IFERROR(__xludf.DUMMYFUNCTION("IF(
  LEN(TRIM(D1518))=0,
  ""왼쪽에 영어 문장을 입력하세요"",
  GOOGLETRANSLATE(D1518,""en"",""ko"")
)"),"우리는 그냥 휙 지나쳐 버렸어")</f>
        <v>우리는 그냥 휙 지나쳐 버렸어</v>
      </c>
      <c r="F1518" s="10" t="s">
        <v>2898</v>
      </c>
    </row>
    <row r="1519" ht="20.25" customHeight="1">
      <c r="A1519" s="5">
        <v>1595.0</v>
      </c>
      <c r="B1519" s="6">
        <v>251231.0</v>
      </c>
      <c r="C1519" s="4"/>
      <c r="D1519" s="10" t="s">
        <v>2899</v>
      </c>
      <c r="E1519" s="8" t="str">
        <f>IFERROR(__xludf.DUMMYFUNCTION("IF(
  LEN(TRIM(D1519))=0,
  ""왼쪽에 영어 문장을 입력하세요"",
  GOOGLETRANSLATE(D1519,""en"",""ko"")
)"),"불쌍한 사람")</f>
        <v>불쌍한 사람</v>
      </c>
      <c r="F1519" s="10" t="s">
        <v>2900</v>
      </c>
    </row>
    <row r="1520" ht="20.25" customHeight="1">
      <c r="A1520" s="5">
        <v>1596.0</v>
      </c>
      <c r="B1520" s="6">
        <v>251231.0</v>
      </c>
      <c r="C1520" s="4"/>
      <c r="D1520" s="10" t="s">
        <v>2901</v>
      </c>
      <c r="E1520" s="8" t="str">
        <f>IFERROR(__xludf.DUMMYFUNCTION("IF(
  LEN(TRIM(D1520))=0,
  ""왼쪽에 영어 문장을 입력하세요"",
  GOOGLETRANSLATE(D1520,""en"",""ko"")
)"),"옹벽")</f>
        <v>옹벽</v>
      </c>
      <c r="F1520" s="10" t="s">
        <v>2902</v>
      </c>
    </row>
    <row r="1521" ht="20.25" customHeight="1">
      <c r="A1521" s="5">
        <v>1597.0</v>
      </c>
      <c r="B1521" s="6">
        <v>251231.0</v>
      </c>
      <c r="C1521" s="4"/>
      <c r="D1521" s="10" t="s">
        <v>2903</v>
      </c>
      <c r="E1521" s="8" t="str">
        <f>IFERROR(__xludf.DUMMYFUNCTION("IF(
  LEN(TRIM(D1521))=0,
  ""왼쪽에 영어 문장을 입력하세요"",
  GOOGLETRANSLATE(D1521,""en"",""ko"")
)"),"놀라운")</f>
        <v>놀라운</v>
      </c>
      <c r="F1521" s="10" t="s">
        <v>2904</v>
      </c>
    </row>
    <row r="1522" ht="20.25" customHeight="1">
      <c r="A1522" s="5">
        <v>1598.0</v>
      </c>
      <c r="B1522" s="6">
        <v>251231.0</v>
      </c>
      <c r="C1522" s="4"/>
      <c r="D1522" s="10" t="s">
        <v>2905</v>
      </c>
      <c r="E1522" s="8" t="str">
        <f>IFERROR(__xludf.DUMMYFUNCTION("IF(
  LEN(TRIM(D1522))=0,
  ""왼쪽에 영어 문장을 입력하세요"",
  GOOGLETRANSLATE(D1522,""en"",""ko"")
)"),"경계를 늦추지 마십시오")</f>
        <v>경계를 늦추지 마십시오</v>
      </c>
      <c r="F1522" s="10" t="s">
        <v>2906</v>
      </c>
    </row>
    <row r="1523" ht="20.25" customHeight="1">
      <c r="A1523" s="5">
        <v>1599.0</v>
      </c>
      <c r="B1523" s="6">
        <v>251231.0</v>
      </c>
      <c r="C1523" s="4"/>
      <c r="D1523" s="10" t="s">
        <v>2907</v>
      </c>
      <c r="E1523" s="8" t="str">
        <f>IFERROR(__xludf.DUMMYFUNCTION("IF(
  LEN(TRIM(D1523))=0,
  ""왼쪽에 영어 문장을 입력하세요"",
  GOOGLETRANSLATE(D1523,""en"",""ko"")
)"),"심한 상하의 움직임")</f>
        <v>심한 상하의 움직임</v>
      </c>
      <c r="F1523" s="10" t="s">
        <v>2908</v>
      </c>
    </row>
    <row r="1524" ht="20.25" customHeight="1">
      <c r="A1524" s="5">
        <v>1600.0</v>
      </c>
      <c r="B1524" s="6">
        <v>251231.0</v>
      </c>
      <c r="C1524" s="4"/>
      <c r="D1524" s="10" t="s">
        <v>2909</v>
      </c>
      <c r="E1524" s="8" t="str">
        <f>IFERROR(__xludf.DUMMYFUNCTION("IF(
  LEN(TRIM(D1524))=0,
  ""왼쪽에 영어 문장을 입력하세요"",
  GOOGLETRANSLATE(D1524,""en"",""ko"")
)"),"당신과 이야기하는 건 정말 쉬워요")</f>
        <v>당신과 이야기하는 건 정말 쉬워요</v>
      </c>
      <c r="F1524" s="10" t="s">
        <v>2910</v>
      </c>
    </row>
    <row r="1525" ht="20.25" customHeight="1">
      <c r="A1525" s="5">
        <v>1601.0</v>
      </c>
      <c r="B1525" s="6">
        <v>251231.0</v>
      </c>
      <c r="C1525" s="4"/>
      <c r="D1525" s="10" t="s">
        <v>2911</v>
      </c>
      <c r="E1525" s="8" t="str">
        <f>IFERROR(__xludf.DUMMYFUNCTION("IF(
  LEN(TRIM(D1525))=0,
  ""왼쪽에 영어 문장을 입력하세요"",
  GOOGLETRANSLATE(D1525,""en"",""ko"")
)"),"나는 기댈 어깨가 없어")</f>
        <v>나는 기댈 어깨가 없어</v>
      </c>
      <c r="F1525" s="10" t="s">
        <v>2912</v>
      </c>
    </row>
    <row r="1526" ht="20.25" customHeight="1">
      <c r="A1526" s="5">
        <v>1602.0</v>
      </c>
      <c r="B1526" s="6">
        <v>251231.0</v>
      </c>
      <c r="C1526" s="4"/>
      <c r="D1526" s="10" t="s">
        <v>2913</v>
      </c>
      <c r="E1526" s="8" t="str">
        <f>IFERROR(__xludf.DUMMYFUNCTION("IF(
  LEN(TRIM(D1526))=0,
  ""왼쪽에 영어 문장을 입력하세요"",
  GOOGLETRANSLATE(D1526,""en"",""ko"")
)"),"당신은 다시 노트북 앞에 웅크리고 앉아 있습니다.")</f>
        <v>당신은 다시 노트북 앞에 웅크리고 앉아 있습니다.</v>
      </c>
      <c r="F1526" s="10" t="s">
        <v>2914</v>
      </c>
    </row>
    <row r="1527" ht="20.25" customHeight="1">
      <c r="A1527" s="5">
        <v>1603.0</v>
      </c>
      <c r="B1527" s="6">
        <v>251231.0</v>
      </c>
      <c r="C1527" s="4"/>
      <c r="D1527" s="10" t="s">
        <v>2915</v>
      </c>
      <c r="E1527" s="8" t="str">
        <f>IFERROR(__xludf.DUMMYFUNCTION("IF(
  LEN(TRIM(D1527))=0,
  ""왼쪽에 영어 문장을 입력하세요"",
  GOOGLETRANSLATE(D1527,""en"",""ko"")
)"),"지적해 주셔서 감사합니다")</f>
        <v>지적해 주셔서 감사합니다</v>
      </c>
      <c r="F1527" s="10" t="s">
        <v>2916</v>
      </c>
    </row>
    <row r="1528" ht="20.25" customHeight="1">
      <c r="A1528" s="5">
        <v>1604.0</v>
      </c>
      <c r="B1528" s="6">
        <v>251231.0</v>
      </c>
      <c r="C1528" s="4"/>
      <c r="D1528" s="10" t="s">
        <v>2917</v>
      </c>
      <c r="E1528" s="8" t="str">
        <f>IFERROR(__xludf.DUMMYFUNCTION("IF(
  LEN(TRIM(D1528))=0,
  ""왼쪽에 영어 문장을 입력하세요"",
  GOOGLETRANSLATE(D1528,""en"",""ko"")
)"),"다양하게 섞어 보세요")</f>
        <v>다양하게 섞어 보세요</v>
      </c>
      <c r="F1528" s="10" t="s">
        <v>2918</v>
      </c>
    </row>
    <row r="1529" ht="20.25" customHeight="1">
      <c r="A1529" s="5">
        <v>1605.0</v>
      </c>
      <c r="B1529" s="6">
        <v>251231.0</v>
      </c>
      <c r="C1529" s="4"/>
      <c r="D1529" s="10" t="s">
        <v>2919</v>
      </c>
      <c r="E1529" s="8" t="str">
        <f>IFERROR(__xludf.DUMMYFUNCTION("IF(
  LEN(TRIM(D1529))=0,
  ""왼쪽에 영어 문장을 입력하세요"",
  GOOGLETRANSLATE(D1529,""en"",""ko"")
)"),"관점을 바꿔 생각해 보세요.")</f>
        <v>관점을 바꿔 생각해 보세요.</v>
      </c>
      <c r="F1529" s="10" t="s">
        <v>2920</v>
      </c>
    </row>
    <row r="1530" ht="75.75" customHeight="1">
      <c r="A1530" s="5">
        <v>1606.0</v>
      </c>
      <c r="B1530" s="6">
        <v>251231.0</v>
      </c>
      <c r="C1530" s="4"/>
      <c r="D1530" s="10" t="s">
        <v>2921</v>
      </c>
      <c r="E1530" s="8" t="str">
        <f>IFERROR(__xludf.DUMMYFUNCTION("IF(
  LEN(TRIM(D1530))=0,
  ""왼쪽에 영어 문장을 입력하세요"",
  GOOGLETRANSLATE(D1530,""en"",""ko"")
)"),"당신은 주식에 투자했었죠... 당신은 어떤 주식이 잘 될 거라고 정말 생각했잖아요.
그래서 많은 돈을 투자했는데,
우리가 흔히 말하는 것처럼 주가가 폭락해서 0이 되어버렸죠.
그냥 감수해야 해요.")</f>
        <v>당신은 주식에 투자했었죠... 당신은 어떤 주식이 잘 될 거라고 정말 생각했잖아요.
그래서 많은 돈을 투자했는데,
우리가 흔히 말하는 것처럼 주가가 폭락해서 0이 되어버렸죠.
그냥 감수해야 해요.</v>
      </c>
      <c r="F1530" s="10" t="s">
        <v>2922</v>
      </c>
    </row>
    <row r="1531" ht="20.25" customHeight="1">
      <c r="A1531" s="5">
        <v>1607.0</v>
      </c>
      <c r="B1531" s="6">
        <v>251231.0</v>
      </c>
      <c r="C1531" s="4"/>
      <c r="D1531" s="10" t="s">
        <v>2923</v>
      </c>
      <c r="E1531" s="8" t="str">
        <f>IFERROR(__xludf.DUMMYFUNCTION("IF(
  LEN(TRIM(D1531))=0,
  ""왼쪽에 영어 문장을 입력하세요"",
  GOOGLETRANSLATE(D1531,""en"",""ko"")
)"),"인생이 당신에게 무엇을 가져다줄지 아무도 모릅니다.")</f>
        <v>인생이 당신에게 무엇을 가져다줄지 아무도 모릅니다.</v>
      </c>
      <c r="F1531" s="9"/>
    </row>
    <row r="1532" ht="20.25" customHeight="1">
      <c r="A1532" s="5">
        <v>1608.0</v>
      </c>
      <c r="B1532" s="6">
        <v>251231.0</v>
      </c>
      <c r="C1532" s="4"/>
      <c r="D1532" s="10" t="s">
        <v>2924</v>
      </c>
      <c r="E1532" s="8" t="str">
        <f>IFERROR(__xludf.DUMMYFUNCTION("IF(
  LEN(TRIM(D1532))=0,
  ""왼쪽에 영어 문장을 입력하세요"",
  GOOGLETRANSLATE(D1532,""en"",""ko"")
)"),"그는 새 직장을 얻었고 다시 일어섰습니다.")</f>
        <v>그는 새 직장을 얻었고 다시 일어섰습니다.</v>
      </c>
      <c r="F1532" s="10" t="s">
        <v>2925</v>
      </c>
    </row>
    <row r="1533" ht="20.25" customHeight="1">
      <c r="A1533" s="5">
        <v>1609.0</v>
      </c>
      <c r="B1533" s="6">
        <v>251231.0</v>
      </c>
      <c r="C1533" s="4"/>
      <c r="D1533" s="10" t="s">
        <v>2926</v>
      </c>
      <c r="E1533" s="8" t="str">
        <f>IFERROR(__xludf.DUMMYFUNCTION("IF(
  LEN(TRIM(D1533))=0,
  ""왼쪽에 영어 문장을 입력하세요"",
  GOOGLETRANSLATE(D1533,""en"",""ko"")
)"),"굶주린 채 잠자리에 드는 아이들이 있다는 것은 슬픈 일입니다.")</f>
        <v>굶주린 채 잠자리에 드는 아이들이 있다는 것은 슬픈 일입니다.</v>
      </c>
      <c r="F1533" s="9"/>
    </row>
    <row r="1534" ht="20.25" customHeight="1">
      <c r="A1534" s="5">
        <v>1610.0</v>
      </c>
      <c r="B1534" s="6">
        <v>251231.0</v>
      </c>
      <c r="C1534" s="4"/>
      <c r="D1534" s="10" t="s">
        <v>2927</v>
      </c>
      <c r="E1534" s="8" t="str">
        <f>IFERROR(__xludf.DUMMYFUNCTION("IF(
  LEN(TRIM(D1534))=0,
  ""왼쪽에 영어 문장을 입력하세요"",
  GOOGLETRANSLATE(D1534,""en"",""ko"")
)"),"야생이다")</f>
        <v>야생이다</v>
      </c>
      <c r="F1534" s="10" t="s">
        <v>2928</v>
      </c>
    </row>
    <row r="1535" ht="37.5" customHeight="1">
      <c r="A1535" s="5">
        <v>1611.0</v>
      </c>
      <c r="B1535" s="6">
        <v>251231.0</v>
      </c>
      <c r="C1535" s="4"/>
      <c r="D1535" s="10" t="s">
        <v>2929</v>
      </c>
      <c r="E1535" s="8" t="str">
        <f>IFERROR(__xludf.DUMMYFUNCTION("IF(
  LEN(TRIM(D1535))=0,
  ""왼쪽에 영어 문장을 입력하세요"",
  GOOGLETRANSLATE(D1535,""en"",""ko"")
)"),"저는 새 출발을 하고 긍정적인 변화를 만들어낼 준비가 되었습니다.")</f>
        <v>저는 새 출발을 하고 긍정적인 변화를 만들어낼 준비가 되었습니다.</v>
      </c>
      <c r="F1535" s="10" t="s">
        <v>2930</v>
      </c>
    </row>
    <row r="1536" ht="20.25" customHeight="1">
      <c r="A1536" s="5">
        <v>1612.0</v>
      </c>
      <c r="B1536" s="6">
        <v>251231.0</v>
      </c>
      <c r="C1536" s="4"/>
      <c r="D1536" s="10" t="s">
        <v>2931</v>
      </c>
      <c r="E1536" s="8" t="str">
        <f>IFERROR(__xludf.DUMMYFUNCTION("IF(
  LEN(TRIM(D1536))=0,
  ""왼쪽에 영어 문장을 입력하세요"",
  GOOGLETRANSLATE(D1536,""en"",""ko"")
)"),"저는 지금 잎에 만족합니다.")</f>
        <v>저는 지금 잎에 만족합니다.</v>
      </c>
      <c r="F1536" s="10" t="s">
        <v>2932</v>
      </c>
    </row>
    <row r="1537" ht="20.25" customHeight="1">
      <c r="A1537" s="5">
        <v>1613.0</v>
      </c>
      <c r="B1537" s="6">
        <v>251231.0</v>
      </c>
      <c r="C1537" s="4"/>
      <c r="D1537" s="10" t="s">
        <v>2933</v>
      </c>
      <c r="E1537" s="8" t="str">
        <f>IFERROR(__xludf.DUMMYFUNCTION("IF(
  LEN(TRIM(D1537))=0,
  ""왼쪽에 영어 문장을 입력하세요"",
  GOOGLETRANSLATE(D1537,""en"",""ko"")
)"),"뒷골목이나 온라인 사기는 피해야 합니다.")</f>
        <v>뒷골목이나 온라인 사기는 피해야 합니다.</v>
      </c>
      <c r="F1537" s="10" t="s">
        <v>2934</v>
      </c>
    </row>
    <row r="1538" ht="81.75" customHeight="1">
      <c r="A1538" s="5">
        <v>1614.0</v>
      </c>
      <c r="B1538" s="6">
        <v>251231.0</v>
      </c>
      <c r="C1538" s="4"/>
      <c r="D1538" s="10" t="s">
        <v>2935</v>
      </c>
      <c r="E1538" s="8" t="str">
        <f>IFERROR(__xludf.DUMMYFUNCTION("IF(
  LEN(TRIM(D1538))=0,
  ""왼쪽에 영어 문장을 입력하세요"",
  GOOGLETRANSLATE(D1538,""en"",""ko"")
)"),"유제품은 피하는 게 좋아요.
우유 제품은 먹으면 안 돼요.
배가 아프고,
배에서 꼬르륵 소리가 나거든요.")</f>
        <v>유제품은 피하는 게 좋아요.
우유 제품은 먹으면 안 돼요.
배가 아프고,
배에서 꼬르륵 소리가 나거든요.</v>
      </c>
      <c r="F1538" s="10" t="s">
        <v>2934</v>
      </c>
    </row>
    <row r="1539" ht="20.25" customHeight="1">
      <c r="A1539" s="5">
        <v>1615.0</v>
      </c>
      <c r="B1539" s="6">
        <v>251231.0</v>
      </c>
      <c r="C1539" s="4"/>
      <c r="D1539" s="10" t="s">
        <v>2936</v>
      </c>
      <c r="E1539" s="8" t="str">
        <f>IFERROR(__xludf.DUMMYFUNCTION("IF(
  LEN(TRIM(D1539))=0,
  ""왼쪽에 영어 문장을 입력하세요"",
  GOOGLETRANSLATE(D1539,""en"",""ko"")
)"),"부끄러워하지 말고 마음껏 파스타를 드세요.")</f>
        <v>부끄러워하지 말고 마음껏 파스타를 드세요.</v>
      </c>
      <c r="F1539" s="10" t="s">
        <v>2937</v>
      </c>
    </row>
    <row r="1540" ht="20.25" customHeight="1">
      <c r="A1540" s="5">
        <v>1616.0</v>
      </c>
      <c r="B1540" s="6">
        <v>251231.0</v>
      </c>
      <c r="C1540" s="4"/>
      <c r="D1540" s="10" t="s">
        <v>2938</v>
      </c>
      <c r="E1540" s="8" t="str">
        <f>IFERROR(__xludf.DUMMYFUNCTION("IF(
  LEN(TRIM(D1540))=0,
  ""왼쪽에 영어 문장을 입력하세요"",
  GOOGLETRANSLATE(D1540,""en"",""ko"")
)"),"조금씩 깨물다")</f>
        <v>조금씩 깨물다</v>
      </c>
      <c r="F1540" s="10" t="s">
        <v>2939</v>
      </c>
    </row>
    <row r="1541" ht="20.25" customHeight="1">
      <c r="A1541" s="5">
        <v>1617.0</v>
      </c>
      <c r="B1541" s="6">
        <v>251231.0</v>
      </c>
      <c r="C1541" s="4"/>
      <c r="D1541" s="10" t="s">
        <v>2940</v>
      </c>
      <c r="E1541" s="8" t="str">
        <f>IFERROR(__xludf.DUMMYFUNCTION("IF(
  LEN(TRIM(D1541))=0,
  ""왼쪽에 영어 문장을 입력하세요"",
  GOOGLETRANSLATE(D1541,""en"",""ko"")
)"),"새처럼 먹어")</f>
        <v>새처럼 먹어</v>
      </c>
      <c r="F1541" s="10" t="s">
        <v>2941</v>
      </c>
    </row>
    <row r="1542" ht="27.0" customHeight="1">
      <c r="A1542" s="5">
        <v>1618.0</v>
      </c>
      <c r="B1542" s="6">
        <v>251231.0</v>
      </c>
      <c r="C1542" s="4"/>
      <c r="D1542" s="10" t="s">
        <v>2942</v>
      </c>
      <c r="E1542" s="8" t="str">
        <f>IFERROR(__xludf.DUMMYFUNCTION("IF(
  LEN(TRIM(D1542))=0,
  ""왼쪽에 영어 문장을 입력하세요"",
  GOOGLETRANSLATE(D1542,""en"",""ko"")
)"),"피부 경결")</f>
        <v>피부 경결</v>
      </c>
      <c r="F1542" s="10" t="s">
        <v>2943</v>
      </c>
    </row>
    <row r="1543" ht="27.0" customHeight="1">
      <c r="A1543" s="5">
        <v>1619.0</v>
      </c>
      <c r="B1543" s="6">
        <v>251231.0</v>
      </c>
      <c r="C1543" s="4"/>
      <c r="D1543" s="10" t="s">
        <v>2944</v>
      </c>
      <c r="E1543" s="8" t="str">
        <f>IFERROR(__xludf.DUMMYFUNCTION("IF(
  LEN(TRIM(D1543))=0,
  ""왼쪽에 영어 문장을 입력하세요"",
  GOOGLETRANSLATE(D1543,""en"",""ko"")
)"),"그 프로젝트는 기대에 미치지 못했습니다.")</f>
        <v>그 프로젝트는 기대에 미치지 못했습니다.</v>
      </c>
      <c r="F1543" s="10" t="s">
        <v>2945</v>
      </c>
    </row>
    <row r="1544" ht="39.75" customHeight="1">
      <c r="A1544" s="5">
        <v>1620.0</v>
      </c>
      <c r="B1544" s="6">
        <v>251231.0</v>
      </c>
      <c r="C1544" s="4"/>
      <c r="D1544" s="10" t="s">
        <v>2946</v>
      </c>
      <c r="E1544" s="8" t="str">
        <f>IFERROR(__xludf.DUMMYFUNCTION("IF(
  LEN(TRIM(D1544))=0,
  ""왼쪽에 영어 문장을 입력하세요"",
  GOOGLETRANSLATE(D1544,""en"",""ko"")
)"),"나는 당신에게 미치지 못해요")</f>
        <v>나는 당신에게 미치지 못해요</v>
      </c>
      <c r="F1544" s="10" t="s">
        <v>2947</v>
      </c>
    </row>
    <row r="1545" ht="20.25" customHeight="1">
      <c r="A1545" s="5">
        <v>1621.0</v>
      </c>
      <c r="B1545" s="6">
        <v>251231.0</v>
      </c>
      <c r="C1545" s="4"/>
      <c r="D1545" s="10" t="s">
        <v>2948</v>
      </c>
      <c r="E1545" s="8" t="str">
        <f>IFERROR(__xludf.DUMMYFUNCTION("IF(
  LEN(TRIM(D1545))=0,
  ""왼쪽에 영어 문장을 입력하세요"",
  GOOGLETRANSLATE(D1545,""en"",""ko"")
)"),"사장님이 편애한다고 생각하세요?")</f>
        <v>사장님이 편애한다고 생각하세요?</v>
      </c>
      <c r="F1545" s="10" t="s">
        <v>2949</v>
      </c>
    </row>
    <row r="1546" ht="20.25" customHeight="1">
      <c r="A1546" s="5">
        <v>1622.0</v>
      </c>
      <c r="B1546" s="6">
        <v>251231.0</v>
      </c>
      <c r="C1546" s="4"/>
      <c r="D1546" s="10" t="s">
        <v>2950</v>
      </c>
      <c r="E1546" s="8" t="str">
        <f>IFERROR(__xludf.DUMMYFUNCTION("IF(
  LEN(TRIM(D1546))=0,
  ""왼쪽에 영어 문장을 입력하세요"",
  GOOGLETRANSLATE(D1546,""en"",""ko"")
)"),"그녀는 업무 규칙을 철저히 준수하며 직무를 수행합니다.")</f>
        <v>그녀는 업무 규칙을 철저히 준수하며 직무를 수행합니다.</v>
      </c>
      <c r="F1546" s="10" t="s">
        <v>2951</v>
      </c>
    </row>
    <row r="1547" ht="20.25" customHeight="1">
      <c r="A1547" s="5">
        <v>1623.0</v>
      </c>
      <c r="B1547" s="6">
        <v>251231.0</v>
      </c>
      <c r="C1547" s="4"/>
      <c r="D1547" s="10" t="s">
        <v>2952</v>
      </c>
      <c r="E1547" s="8" t="str">
        <f>IFERROR(__xludf.DUMMYFUNCTION("IF(
  LEN(TRIM(D1547))=0,
  ""왼쪽에 영어 문장을 입력하세요"",
  GOOGLETRANSLATE(D1547,""en"",""ko"")
)"),"새 신발 편하세요?")</f>
        <v>새 신발 편하세요?</v>
      </c>
      <c r="F1547" s="10" t="s">
        <v>2953</v>
      </c>
    </row>
    <row r="1548" ht="20.25" customHeight="1">
      <c r="A1548" s="5">
        <v>1624.0</v>
      </c>
      <c r="B1548" s="6">
        <v>251231.0</v>
      </c>
      <c r="C1548" s="4"/>
      <c r="D1548" s="10" t="s">
        <v>2954</v>
      </c>
      <c r="E1548" s="8" t="str">
        <f>IFERROR(__xludf.DUMMYFUNCTION("IF(
  LEN(TRIM(D1548))=0,
  ""왼쪽에 영어 문장을 입력하세요"",
  GOOGLETRANSLATE(D1548,""en"",""ko"")
)"),"내 청바지는 길들이기 전까지는 뻣뻣하게 느껴졌다.")</f>
        <v>내 청바지는 길들이기 전까지는 뻣뻣하게 느껴졌다.</v>
      </c>
      <c r="F1548" s="10" t="s">
        <v>2955</v>
      </c>
    </row>
    <row r="1549" ht="98.25" customHeight="1">
      <c r="A1549" s="5">
        <v>1625.0</v>
      </c>
      <c r="B1549" s="6">
        <v>260102.0</v>
      </c>
      <c r="C1549" s="4"/>
      <c r="D1549" s="10" t="s">
        <v>2956</v>
      </c>
      <c r="E1549" s="8" t="str">
        <f>IFERROR(__xludf.DUMMYFUNCTION("IF(
  LEN(TRIM(D1549))=0,
  ""왼쪽에 영어 문장을 입력하세요"",
  GOOGLETRANSLATE(D1549,""en"",""ko"")
)"),"2km를 걸으면서 40km를 생각할 수는 없어요.
그냥 한 걸음씩 나아가세요.
한 발씩 앞으로 나아가세요.")</f>
        <v>2km를 걸으면서 40km를 생각할 수는 없어요.
그냥 한 걸음씩 나아가세요.
한 발씩 앞으로 나아가세요.</v>
      </c>
      <c r="F1549" s="10" t="s">
        <v>2957</v>
      </c>
    </row>
    <row r="1550" ht="20.25" customHeight="1">
      <c r="A1550" s="5">
        <v>1626.0</v>
      </c>
      <c r="B1550" s="6">
        <v>260102.0</v>
      </c>
      <c r="C1550" s="4"/>
      <c r="D1550" s="10" t="s">
        <v>2958</v>
      </c>
      <c r="E1550" s="8" t="str">
        <f>IFERROR(__xludf.DUMMYFUNCTION("IF(
  LEN(TRIM(D1550))=0,
  ""왼쪽에 영어 문장을 입력하세요"",
  GOOGLETRANSLATE(D1550,""en"",""ko"")
)"),"요가는 제게 정말 놀라운 효과를 가져다줬어요.")</f>
        <v>요가는 제게 정말 놀라운 효과를 가져다줬어요.</v>
      </c>
      <c r="F1550" s="10" t="s">
        <v>2959</v>
      </c>
    </row>
    <row r="1551" ht="20.25" customHeight="1">
      <c r="A1551" s="5">
        <v>1627.0</v>
      </c>
      <c r="B1551" s="6">
        <v>260102.0</v>
      </c>
      <c r="C1551" s="4"/>
      <c r="D1551" s="10" t="s">
        <v>2960</v>
      </c>
      <c r="E1551" s="8" t="str">
        <f>IFERROR(__xludf.DUMMYFUNCTION("IF(
  LEN(TRIM(D1551))=0,
  ""왼쪽에 영어 문장을 입력하세요"",
  GOOGLETRANSLATE(D1551,""en"",""ko"")
)"),"약간의 절제력이 얼마나 큰 변화를 가져올 수 있는지 정말 놀랍습니다.")</f>
        <v>약간의 절제력이 얼마나 큰 변화를 가져올 수 있는지 정말 놀랍습니다.</v>
      </c>
      <c r="F1551" s="9"/>
    </row>
    <row r="1552" ht="48.75" customHeight="1">
      <c r="A1552" s="5">
        <v>1628.0</v>
      </c>
      <c r="B1552" s="6">
        <v>260102.0</v>
      </c>
      <c r="C1552" s="4"/>
      <c r="D1552" s="10" t="s">
        <v>2961</v>
      </c>
      <c r="E1552" s="8" t="str">
        <f>IFERROR(__xludf.DUMMYFUNCTION("IF(
  LEN(TRIM(D1552))=0,
  ""왼쪽에 영어 문장을 입력하세요"",
  GOOGLETRANSLATE(D1552,""en"",""ko"")
)"),"포기하지 않으면 놀라운 일들을 이룰 수 있습니다.")</f>
        <v>포기하지 않으면 놀라운 일들을 이룰 수 있습니다.</v>
      </c>
      <c r="F1552" s="9"/>
    </row>
    <row r="1553" ht="20.25" customHeight="1">
      <c r="A1553" s="5">
        <v>1629.0</v>
      </c>
      <c r="B1553" s="6">
        <v>260102.0</v>
      </c>
      <c r="C1553" s="4"/>
      <c r="D1553" s="10" t="s">
        <v>2962</v>
      </c>
      <c r="E1553" s="8" t="str">
        <f>IFERROR(__xludf.DUMMYFUNCTION("IF(
  LEN(TRIM(D1553))=0,
  ""왼쪽에 영어 문장을 입력하세요"",
  GOOGLETRANSLATE(D1553,""en"",""ko"")
)"),"음식은 사람들을 하나로 모으는 힘이 있다.")</f>
        <v>음식은 사람들을 하나로 모으는 힘이 있다.</v>
      </c>
      <c r="F1553" s="9"/>
    </row>
    <row r="1554" ht="20.25" customHeight="1">
      <c r="A1554" s="5">
        <v>1630.0</v>
      </c>
      <c r="B1554" s="6">
        <v>260102.0</v>
      </c>
      <c r="C1554" s="4"/>
      <c r="D1554" s="10" t="s">
        <v>2963</v>
      </c>
      <c r="E1554" s="8" t="str">
        <f>IFERROR(__xludf.DUMMYFUNCTION("IF(
  LEN(TRIM(D1554))=0,
  ""왼쪽에 영어 문장을 입력하세요"",
  GOOGLETRANSLATE(D1554,""en"",""ko"")
)"),"질은 누구에게나 특별한 기분을 느끼게 해주는 재주가 있다.")</f>
        <v>질은 누구에게나 특별한 기분을 느끼게 해주는 재주가 있다.</v>
      </c>
      <c r="F1554" s="9"/>
    </row>
    <row r="1555" ht="20.25" customHeight="1">
      <c r="A1555" s="5">
        <v>1631.0</v>
      </c>
      <c r="B1555" s="6">
        <v>260102.0</v>
      </c>
      <c r="C1555" s="4"/>
      <c r="D1555" s="10" t="s">
        <v>2964</v>
      </c>
      <c r="E1555" s="8" t="str">
        <f>IFERROR(__xludf.DUMMYFUNCTION("IF(
  LEN(TRIM(D1555))=0,
  ""왼쪽에 영어 문장을 입력하세요"",
  GOOGLETRANSLATE(D1555,""en"",""ko"")
)"),"저는 제 프로젝트가 다른 프로젝트들과 정말 차별화되기를 바랍니다.")</f>
        <v>저는 제 프로젝트가 다른 프로젝트들과 정말 차별화되기를 바랍니다.</v>
      </c>
      <c r="F1555" s="10" t="s">
        <v>2965</v>
      </c>
    </row>
    <row r="1556" ht="20.25" customHeight="1">
      <c r="A1556" s="5">
        <v>1632.0</v>
      </c>
      <c r="B1556" s="6">
        <v>260102.0</v>
      </c>
      <c r="C1556" s="4"/>
      <c r="D1556" s="10" t="s">
        <v>2966</v>
      </c>
      <c r="E1556" s="8" t="str">
        <f>IFERROR(__xludf.DUMMYFUNCTION("IF(
  LEN(TRIM(D1556))=0,
  ""왼쪽에 영어 문장을 입력하세요"",
  GOOGLETRANSLATE(D1556,""en"",""ko"")
)"),"독창성에 집중하고 자신만의 개성을 강조하세요.")</f>
        <v>독창성에 집중하고 자신만의 개성을 강조하세요.</v>
      </c>
      <c r="F1556" s="9"/>
    </row>
    <row r="1557" ht="45.75" customHeight="1">
      <c r="A1557" s="5">
        <v>1633.0</v>
      </c>
      <c r="B1557" s="6">
        <v>260102.0</v>
      </c>
      <c r="C1557" s="4"/>
      <c r="D1557" s="10" t="s">
        <v>2967</v>
      </c>
      <c r="E1557" s="8" t="str">
        <f>IFERROR(__xludf.DUMMYFUNCTION("IF(
  LEN(TRIM(D1557))=0,
  ""왼쪽에 영어 문장을 입력하세요"",
  GOOGLETRANSLATE(D1557,""en"",""ko"")
)"),"계획이 제대로 작동하지 않고 있습니다.
수정을 해봅시다.")</f>
        <v>계획이 제대로 작동하지 않고 있습니다.
수정을 해봅시다.</v>
      </c>
      <c r="F1557" s="10" t="s">
        <v>2968</v>
      </c>
    </row>
    <row r="1558" ht="20.25" customHeight="1">
      <c r="A1558" s="5">
        <v>1634.0</v>
      </c>
      <c r="B1558" s="6">
        <v>260102.0</v>
      </c>
      <c r="C1558" s="4"/>
      <c r="D1558" s="10" t="s">
        <v>2969</v>
      </c>
      <c r="E1558" s="8" t="str">
        <f>IFERROR(__xludf.DUMMYFUNCTION("IF(
  LEN(TRIM(D1558))=0,
  ""왼쪽에 영어 문장을 입력하세요"",
  GOOGLETRANSLATE(D1558,""en"",""ko"")
)"),"의사는 문제의 원인을 정확히 밝혀냈습니다.")</f>
        <v>의사는 문제의 원인을 정확히 밝혀냈습니다.</v>
      </c>
      <c r="F1558" s="10" t="s">
        <v>2970</v>
      </c>
    </row>
    <row r="1559" ht="20.25" customHeight="1">
      <c r="A1559" s="5">
        <v>1635.0</v>
      </c>
      <c r="B1559" s="6">
        <v>260102.0</v>
      </c>
      <c r="C1559" s="4"/>
      <c r="D1559" s="10" t="s">
        <v>2971</v>
      </c>
      <c r="E1559" s="8" t="str">
        <f>IFERROR(__xludf.DUMMYFUNCTION("IF(
  LEN(TRIM(D1559))=0,
  ""왼쪽에 영어 문장을 입력하세요"",
  GOOGLETRANSLATE(D1559,""en"",""ko"")
)"),"신발 깔창")</f>
        <v>신발 깔창</v>
      </c>
      <c r="F1559" s="9"/>
    </row>
    <row r="1560" ht="44.25" customHeight="1">
      <c r="A1560" s="5">
        <v>1636.0</v>
      </c>
      <c r="B1560" s="6">
        <v>260102.0</v>
      </c>
      <c r="C1560" s="4"/>
      <c r="D1560" s="10" t="s">
        <v>2972</v>
      </c>
      <c r="E1560" s="8" t="str">
        <f>IFERROR(__xludf.DUMMYFUNCTION("IF(
  LEN(TRIM(D1560))=0,
  ""왼쪽에 영어 문장을 입력하세요"",
  GOOGLETRANSLATE(D1560,""en"",""ko"")
)"),"발은 따뜻해야 합니다.
하지만 손은 시원해야 합니다.")</f>
        <v>발은 따뜻해야 합니다.
하지만 손은 시원해야 합니다.</v>
      </c>
      <c r="F1560" s="9"/>
    </row>
    <row r="1561" ht="20.25" customHeight="1">
      <c r="A1561" s="5">
        <v>1637.0</v>
      </c>
      <c r="B1561" s="6">
        <v>260102.0</v>
      </c>
      <c r="C1561" s="4"/>
      <c r="D1561" s="10" t="s">
        <v>2973</v>
      </c>
      <c r="E1561" s="8" t="str">
        <f>IFERROR(__xludf.DUMMYFUNCTION("IF(
  LEN(TRIM(D1561))=0,
  ""왼쪽에 영어 문장을 입력하세요"",
  GOOGLETRANSLATE(D1561,""en"",""ko"")
)"),"위원회는 교사와 학부모로 구성되어 있습니다.")</f>
        <v>위원회는 교사와 학부모로 구성되어 있습니다.</v>
      </c>
      <c r="F1561" s="10" t="s">
        <v>2974</v>
      </c>
    </row>
    <row r="1562" ht="20.25" customHeight="1">
      <c r="A1562" s="5">
        <v>1638.0</v>
      </c>
      <c r="B1562" s="6">
        <v>260102.0</v>
      </c>
      <c r="C1562" s="4"/>
      <c r="D1562" s="10" t="s">
        <v>2975</v>
      </c>
      <c r="E1562" s="8" t="str">
        <f>IFERROR(__xludf.DUMMYFUNCTION("IF(
  LEN(TRIM(D1562))=0,
  ""왼쪽에 영어 문장을 입력하세요"",
  GOOGLETRANSLATE(D1562,""en"",""ko"")
)"),"이 셔츠는 면으로 만들어졌습니다.")</f>
        <v>이 셔츠는 면으로 만들어졌습니다.</v>
      </c>
      <c r="F1562" s="10" t="s">
        <v>2976</v>
      </c>
    </row>
    <row r="1563" ht="43.5" customHeight="1">
      <c r="A1563" s="5">
        <v>1639.0</v>
      </c>
      <c r="B1563" s="6">
        <v>260102.0</v>
      </c>
      <c r="C1563" s="4"/>
      <c r="D1563" s="10" t="s">
        <v>2977</v>
      </c>
      <c r="E1563" s="8" t="str">
        <f>IFERROR(__xludf.DUMMYFUNCTION("IF(
  LEN(TRIM(D1563))=0,
  ""왼쪽에 영어 문장을 입력하세요"",
  GOOGLETRANSLATE(D1563,""en"",""ko"")
)"),"창문을 실수로 열어둔 채로 나갔을 때 찬 기운이 스며들 수 있습니다.")</f>
        <v>창문을 실수로 열어둔 채로 나갔을 때 찬 기운이 스며들 수 있습니다.</v>
      </c>
      <c r="F1563" s="10" t="s">
        <v>2978</v>
      </c>
    </row>
    <row r="1564" ht="20.25" customHeight="1">
      <c r="A1564" s="5">
        <v>1640.0</v>
      </c>
      <c r="B1564" s="6">
        <v>260102.0</v>
      </c>
      <c r="C1564" s="4"/>
      <c r="D1564" s="10" t="s">
        <v>2979</v>
      </c>
      <c r="E1564" s="8" t="str">
        <f>IFERROR(__xludf.DUMMYFUNCTION("IF(
  LEN(TRIM(D1564))=0,
  ""왼쪽에 영어 문장을 입력하세요"",
  GOOGLETRANSLATE(D1564,""en"",""ko"")
)"),"그녀는 학교 과제를 잘 따라가기 위해 열심히 노력합니다.")</f>
        <v>그녀는 학교 과제를 잘 따라가기 위해 열심히 노력합니다.</v>
      </c>
      <c r="F1564" s="10" t="s">
        <v>2980</v>
      </c>
    </row>
    <row r="1565" ht="20.25" customHeight="1">
      <c r="A1565" s="5">
        <v>1641.0</v>
      </c>
      <c r="B1565" s="6">
        <v>260102.0</v>
      </c>
      <c r="C1565" s="4"/>
      <c r="D1565" s="10" t="s">
        <v>2981</v>
      </c>
      <c r="E1565" s="8" t="str">
        <f>IFERROR(__xludf.DUMMYFUNCTION("IF(
  LEN(TRIM(D1565))=0,
  ""왼쪽에 영어 문장을 입력하세요"",
  GOOGLETRANSLATE(D1565,""en"",""ko"")
)"),"치료하지 않고 방치하면 결국 치아를 발치해야 할 것입니다.")</f>
        <v>치료하지 않고 방치하면 결국 치아를 발치해야 할 것입니다.</v>
      </c>
      <c r="F1565" s="10" t="s">
        <v>2982</v>
      </c>
    </row>
    <row r="1566" ht="20.25" customHeight="1">
      <c r="A1566" s="5">
        <v>1642.0</v>
      </c>
      <c r="B1566" s="6">
        <v>260102.0</v>
      </c>
      <c r="C1566" s="4"/>
      <c r="D1566" s="10" t="s">
        <v>2983</v>
      </c>
      <c r="E1566" s="8" t="str">
        <f>IFERROR(__xludf.DUMMYFUNCTION("IF(
  LEN(TRIM(D1566))=0,
  ""왼쪽에 영어 문장을 입력하세요"",
  GOOGLETRANSLATE(D1566,""en"",""ko"")
)"),"당신은 정말 최고입니다.")</f>
        <v>당신은 정말 최고입니다.</v>
      </c>
      <c r="F1566" s="10" t="s">
        <v>2984</v>
      </c>
    </row>
    <row r="1567" ht="20.25" customHeight="1">
      <c r="A1567" s="5">
        <v>1643.0</v>
      </c>
      <c r="B1567" s="6">
        <v>260102.0</v>
      </c>
      <c r="C1567" s="4"/>
      <c r="D1567" s="10" t="s">
        <v>2985</v>
      </c>
      <c r="E1567" s="8" t="str">
        <f>IFERROR(__xludf.DUMMYFUNCTION("IF(
  LEN(TRIM(D1567))=0,
  ""왼쪽에 영어 문장을 입력하세요"",
  GOOGLETRANSLATE(D1567,""en"",""ko"")
)"),"눈이 초롱초롱하고 꼬리가 풍성한")</f>
        <v>눈이 초롱초롱하고 꼬리가 풍성한</v>
      </c>
      <c r="F1567" s="10" t="s">
        <v>2986</v>
      </c>
    </row>
    <row r="1568" ht="20.25" customHeight="1">
      <c r="A1568" s="5">
        <v>1644.0</v>
      </c>
      <c r="B1568" s="6">
        <v>260102.0</v>
      </c>
      <c r="C1568" s="4"/>
      <c r="D1568" s="10" t="s">
        <v>2987</v>
      </c>
      <c r="E1568" s="8" t="str">
        <f>IFERROR(__xludf.DUMMYFUNCTION("IF(
  LEN(TRIM(D1568))=0,
  ""왼쪽에 영어 문장을 입력하세요"",
  GOOGLETRANSLATE(D1568,""en"",""ko"")
)"),"선생님은 내가 숙제를 잊어버렸다는 이유로 나를 특별히 지적하셨다.")</f>
        <v>선생님은 내가 숙제를 잊어버렸다는 이유로 나를 특별히 지적하셨다.</v>
      </c>
      <c r="F1568" s="10" t="s">
        <v>2988</v>
      </c>
    </row>
    <row r="1569" ht="40.5" customHeight="1">
      <c r="A1569" s="5">
        <v>1645.0</v>
      </c>
      <c r="B1569" s="6">
        <v>260102.0</v>
      </c>
      <c r="C1569" s="4"/>
      <c r="D1569" s="10" t="s">
        <v>2989</v>
      </c>
      <c r="E1569" s="8" t="str">
        <f>IFERROR(__xludf.DUMMYFUNCTION("IF(
  LEN(TRIM(D1569))=0,
  ""왼쪽에 영어 문장을 입력하세요"",
  GOOGLETRANSLATE(D1569,""en"",""ko"")
)"),"행사에 필요한 물품이 부족했어요.
그럼 급하게 가게에 다녀와야겠네요.")</f>
        <v>행사에 필요한 물품이 부족했어요.
그럼 급하게 가게에 다녀와야겠네요.</v>
      </c>
      <c r="F1569" s="10" t="s">
        <v>2990</v>
      </c>
    </row>
    <row r="1570" ht="36.0" customHeight="1">
      <c r="A1570" s="5">
        <v>1646.0</v>
      </c>
      <c r="B1570" s="6">
        <v>260102.0</v>
      </c>
      <c r="C1570" s="4"/>
      <c r="D1570" s="10" t="s">
        <v>2991</v>
      </c>
      <c r="E1570" s="8" t="str">
        <f>IFERROR(__xludf.DUMMYFUNCTION("IF(
  LEN(TRIM(D1570))=0,
  ""왼쪽에 영어 문장을 입력하세요"",
  GOOGLETRANSLATE(D1570,""en"",""ko"")
)"),"아침 회의에서 무슨 일이 있었나요? 저는 잘 몰라요.
점심 먹으면서 얘기해 줄게요.")</f>
        <v>아침 회의에서 무슨 일이 있었나요? 저는 잘 몰라요.
점심 먹으면서 얘기해 줄게요.</v>
      </c>
      <c r="F1570" s="10" t="s">
        <v>2992</v>
      </c>
    </row>
    <row r="1571" ht="20.25" customHeight="1">
      <c r="A1571" s="5">
        <v>1647.0</v>
      </c>
      <c r="B1571" s="6">
        <v>260102.0</v>
      </c>
      <c r="C1571" s="4"/>
      <c r="D1571" s="10" t="s">
        <v>2993</v>
      </c>
      <c r="E1571" s="8" t="str">
        <f>IFERROR(__xludf.DUMMYFUNCTION("IF(
  LEN(TRIM(D1571))=0,
  ""왼쪽에 영어 문장을 입력하세요"",
  GOOGLETRANSLATE(D1571,""en"",""ko"")
)"),"그 스튜는 겨울 저녁에 정말 딱 맞는 음식이었어요.")</f>
        <v>그 스튜는 겨울 저녁에 정말 딱 맞는 음식이었어요.</v>
      </c>
      <c r="F1571" s="10" t="s">
        <v>2994</v>
      </c>
    </row>
    <row r="1572" ht="36.0" customHeight="1">
      <c r="A1572" s="5">
        <v>1648.0</v>
      </c>
      <c r="B1572" s="6">
        <v>260102.0</v>
      </c>
      <c r="C1572" s="4"/>
      <c r="D1572" s="10" t="s">
        <v>2995</v>
      </c>
      <c r="E1572" s="8" t="str">
        <f>IFERROR(__xludf.DUMMYFUNCTION("IF(
  LEN(TRIM(D1572))=0,
  ""왼쪽에 영어 문장을 입력하세요"",
  GOOGLETRANSLATE(D1572,""en"",""ko"")
)"),"이 커피잔은 가득 차 있어요. 쏟지 않게 조심하세요.
걱정 마세요. 옮기기 전에 위에 있는 커피 좀 마실게요.")</f>
        <v>이 커피잔은 가득 차 있어요. 쏟지 않게 조심하세요.
걱정 마세요. 옮기기 전에 위에 있는 커피 좀 마실게요.</v>
      </c>
      <c r="F1572" s="10" t="s">
        <v>2996</v>
      </c>
    </row>
    <row r="1573" ht="20.25" customHeight="1">
      <c r="A1573" s="5">
        <v>1649.0</v>
      </c>
      <c r="B1573" s="6">
        <v>260102.0</v>
      </c>
      <c r="C1573" s="4"/>
      <c r="D1573" s="10" t="s">
        <v>2997</v>
      </c>
      <c r="E1573" s="8" t="str">
        <f>IFERROR(__xludf.DUMMYFUNCTION("IF(
  LEN(TRIM(D1573))=0,
  ""왼쪽에 영어 문장을 입력하세요"",
  GOOGLETRANSLATE(D1573,""en"",""ko"")
)"),"우유부단한")</f>
        <v>우유부단한</v>
      </c>
      <c r="F1573" s="10" t="s">
        <v>2998</v>
      </c>
    </row>
    <row r="1574" ht="20.25" customHeight="1">
      <c r="A1574" s="5">
        <v>1650.0</v>
      </c>
      <c r="B1574" s="6">
        <v>260102.0</v>
      </c>
      <c r="C1574" s="4"/>
      <c r="D1574" s="10" t="s">
        <v>2999</v>
      </c>
      <c r="E1574" s="8" t="str">
        <f>IFERROR(__xludf.DUMMYFUNCTION("IF(
  LEN(TRIM(D1574))=0,
  ""왼쪽에 영어 문장을 입력하세요"",
  GOOGLETRANSLATE(D1574,""en"",""ko"")
)"),"당신은 오랫동안 미루고 있어요")</f>
        <v>당신은 오랫동안 미루고 있어요</v>
      </c>
      <c r="F1574" s="10" t="s">
        <v>3000</v>
      </c>
    </row>
    <row r="1575" ht="20.25" customHeight="1">
      <c r="A1575" s="5">
        <v>1651.0</v>
      </c>
      <c r="B1575" s="6">
        <v>260102.0</v>
      </c>
      <c r="C1575" s="4"/>
      <c r="D1575" s="10" t="s">
        <v>3001</v>
      </c>
      <c r="E1575" s="8" t="str">
        <f>IFERROR(__xludf.DUMMYFUNCTION("IF(
  LEN(TRIM(D1575))=0,
  ""왼쪽에 영어 문장을 입력하세요"",
  GOOGLETRANSLATE(D1575,""en"",""ko"")
)"),"미루다")</f>
        <v>미루다</v>
      </c>
      <c r="F1575" s="10" t="s">
        <v>3002</v>
      </c>
    </row>
    <row r="1576" ht="20.25" customHeight="1">
      <c r="A1576" s="5">
        <v>1652.0</v>
      </c>
      <c r="B1576" s="6">
        <v>260102.0</v>
      </c>
      <c r="C1576" s="4"/>
      <c r="D1576" s="10" t="s">
        <v>3003</v>
      </c>
      <c r="E1576" s="8" t="str">
        <f>IFERROR(__xludf.DUMMYFUNCTION("IF(
  LEN(TRIM(D1576))=0,
  ""왼쪽에 영어 문장을 입력하세요"",
  GOOGLETRANSLATE(D1576,""en"",""ko"")
)"),"심오한")</f>
        <v>심오한</v>
      </c>
      <c r="F1576" s="10" t="s">
        <v>3004</v>
      </c>
    </row>
    <row r="1577" ht="20.25" customHeight="1">
      <c r="A1577" s="5">
        <v>1653.0</v>
      </c>
      <c r="B1577" s="6">
        <v>260104.0</v>
      </c>
      <c r="C1577" s="4"/>
      <c r="D1577" s="10" t="s">
        <v>3005</v>
      </c>
      <c r="E1577" s="8" t="str">
        <f>IFERROR(__xludf.DUMMYFUNCTION("IF(
  LEN(TRIM(D1577))=0,
  ""왼쪽에 영어 문장을 입력하세요"",
  GOOGLETRANSLATE(D1577,""en"",""ko"")
)"),"에너지를 낭비하지 마세요")</f>
        <v>에너지를 낭비하지 마세요</v>
      </c>
      <c r="F1577" s="10" t="s">
        <v>3006</v>
      </c>
    </row>
    <row r="1578" ht="20.25" customHeight="1">
      <c r="A1578" s="5">
        <v>1654.0</v>
      </c>
      <c r="B1578" s="6">
        <v>260104.0</v>
      </c>
      <c r="C1578" s="4"/>
      <c r="D1578" s="10" t="s">
        <v>3007</v>
      </c>
      <c r="E1578" s="8" t="str">
        <f>IFERROR(__xludf.DUMMYFUNCTION("IF(
  LEN(TRIM(D1578))=0,
  ""왼쪽에 영어 문장을 입력하세요"",
  GOOGLETRANSLATE(D1578,""en"",""ko"")
)"),"갈 준비 다 되셨어요?")</f>
        <v>갈 준비 다 되셨어요?</v>
      </c>
      <c r="F1578" s="10" t="s">
        <v>3008</v>
      </c>
    </row>
    <row r="1579" ht="20.25" customHeight="1">
      <c r="A1579" s="5">
        <v>1655.0</v>
      </c>
      <c r="B1579" s="6">
        <v>260104.0</v>
      </c>
      <c r="C1579" s="4"/>
      <c r="D1579" s="10" t="s">
        <v>3009</v>
      </c>
      <c r="E1579" s="8" t="str">
        <f>IFERROR(__xludf.DUMMYFUNCTION("IF(
  LEN(TRIM(D1579))=0,
  ""왼쪽에 영어 문장을 입력하세요"",
  GOOGLETRANSLATE(D1579,""en"",""ko"")
)"),"좋든 싫든")</f>
        <v>좋든 싫든</v>
      </c>
      <c r="F1579" s="10" t="s">
        <v>3010</v>
      </c>
    </row>
    <row r="1580" ht="20.25" customHeight="1">
      <c r="A1580" s="5">
        <v>1656.0</v>
      </c>
      <c r="B1580" s="6">
        <v>260104.0</v>
      </c>
      <c r="C1580" s="4"/>
      <c r="D1580" s="10" t="s">
        <v>3011</v>
      </c>
      <c r="E1580" s="8" t="str">
        <f>IFERROR(__xludf.DUMMYFUNCTION("IF(
  LEN(TRIM(D1580))=0,
  ""왼쪽에 영어 문장을 입력하세요"",
  GOOGLETRANSLATE(D1580,""en"",""ko"")
)"),"숨이 막힌 것 같아요")</f>
        <v>숨이 막힌 것 같아요</v>
      </c>
      <c r="F1580" s="10" t="s">
        <v>3012</v>
      </c>
    </row>
    <row r="1581" ht="20.25" customHeight="1">
      <c r="A1581" s="5">
        <v>1657.0</v>
      </c>
      <c r="B1581" s="6">
        <v>260104.0</v>
      </c>
      <c r="C1581" s="4"/>
      <c r="D1581" s="10" t="s">
        <v>3013</v>
      </c>
      <c r="E1581" s="8" t="str">
        <f>IFERROR(__xludf.DUMMYFUNCTION("IF(
  LEN(TRIM(D1581))=0,
  ""왼쪽에 영어 문장을 입력하세요"",
  GOOGLETRANSLATE(D1581,""en"",""ko"")
)"),"너는 벌받아 마땅해")</f>
        <v>너는 벌받아 마땅해</v>
      </c>
      <c r="F1581" s="10" t="s">
        <v>3014</v>
      </c>
    </row>
    <row r="1582" ht="20.25" customHeight="1">
      <c r="A1582" s="5">
        <v>1658.0</v>
      </c>
      <c r="B1582" s="6">
        <v>260104.0</v>
      </c>
      <c r="C1582" s="4"/>
      <c r="D1582" s="10" t="s">
        <v>3015</v>
      </c>
      <c r="E1582" s="8" t="str">
        <f>IFERROR(__xludf.DUMMYFUNCTION("IF(
  LEN(TRIM(D1582))=0,
  ""왼쪽에 영어 문장을 입력하세요"",
  GOOGLETRANSLATE(D1582,""en"",""ko"")
)"),"나는 돈을 잘 번다")</f>
        <v>나는 돈을 잘 번다</v>
      </c>
      <c r="F1582" s="10" t="s">
        <v>3016</v>
      </c>
    </row>
    <row r="1583" ht="56.25" customHeight="1">
      <c r="A1583" s="5">
        <v>1659.0</v>
      </c>
      <c r="B1583" s="6">
        <v>260104.0</v>
      </c>
      <c r="C1583" s="4"/>
      <c r="D1583" s="10" t="s">
        <v>3017</v>
      </c>
      <c r="E1583" s="8" t="str">
        <f>IFERROR(__xludf.DUMMYFUNCTION("IF(
  LEN(TRIM(D1583))=0,
  ""왼쪽에 영어 문장을 입력하세요"",
  GOOGLETRANSLATE(D1583,""en"",""ko"")
)"),"그는 지나칠 정도로 정직하다")</f>
        <v>그는 지나칠 정도로 정직하다</v>
      </c>
      <c r="F1583" s="10" t="s">
        <v>3018</v>
      </c>
    </row>
    <row r="1584" ht="57.0" customHeight="1">
      <c r="A1584" s="5">
        <v>1660.0</v>
      </c>
      <c r="B1584" s="6">
        <v>260104.0</v>
      </c>
      <c r="C1584" s="4"/>
      <c r="D1584" s="10" t="s">
        <v>3019</v>
      </c>
      <c r="E1584" s="8" t="str">
        <f>IFERROR(__xludf.DUMMYFUNCTION("IF(
  LEN(TRIM(D1584))=0,
  ""왼쪽에 영어 문장을 입력하세요"",
  GOOGLETRANSLATE(D1584,""en"",""ko"")
)"),"우리 할머니는 지나치게 관대하세요.
할머니는 자신이 가진 거의 모든 것을 나눠주세요.")</f>
        <v>우리 할머니는 지나치게 관대하세요.
할머니는 자신이 가진 거의 모든 것을 나눠주세요.</v>
      </c>
      <c r="F1584" s="10" t="s">
        <v>3020</v>
      </c>
    </row>
    <row r="1585" ht="66.75" customHeight="1">
      <c r="A1585" s="5">
        <v>1661.0</v>
      </c>
      <c r="B1585" s="6">
        <v>260104.0</v>
      </c>
      <c r="C1585" s="4"/>
      <c r="D1585" s="10" t="s">
        <v>3021</v>
      </c>
      <c r="E1585" s="8" t="str">
        <f>IFERROR(__xludf.DUMMYFUNCTION("IF(
  LEN(TRIM(D1585))=0,
  ""왼쪽에 영어 문장을 입력하세요"",
  GOOGLETRANSLATE(D1585,""en"",""ko"")
)"),"넌 너무 똑똑해서 탈이야.")</f>
        <v>넌 너무 똑똑해서 탈이야.</v>
      </c>
      <c r="F1585" s="10" t="s">
        <v>3022</v>
      </c>
    </row>
    <row r="1586" ht="36.75" customHeight="1">
      <c r="A1586" s="5">
        <v>1662.0</v>
      </c>
      <c r="B1586" s="6">
        <v>260104.0</v>
      </c>
      <c r="C1586" s="4"/>
      <c r="D1586" s="19" t="s">
        <v>3023</v>
      </c>
      <c r="E1586" s="8" t="str">
        <f>IFERROR(__xludf.DUMMYFUNCTION("IF(
  LEN(TRIM(D1586))=0,
  ""왼쪽에 영어 문장을 입력하세요"",
  GOOGLETRANSLATE(D1586,""en"",""ko"")
)"),"그녀는 너무 착해서 탈이에요. 사람들은 항상 그녀를 이용하죠.")</f>
        <v>그녀는 너무 착해서 탈이에요. 사람들은 항상 그녀를 이용하죠.</v>
      </c>
      <c r="F1586" s="10" t="s">
        <v>3024</v>
      </c>
    </row>
    <row r="1587" ht="36.75" customHeight="1">
      <c r="A1587" s="5">
        <v>1663.0</v>
      </c>
      <c r="B1587" s="6">
        <v>260110.0</v>
      </c>
      <c r="C1587" s="4"/>
      <c r="D1587" s="10" t="s">
        <v>3025</v>
      </c>
      <c r="E1587" s="8" t="str">
        <f>IFERROR(__xludf.DUMMYFUNCTION("IF(
  LEN(TRIM(D1587))=0,
  ""왼쪽에 영어 문장을 입력하세요"",
  GOOGLETRANSLATE(D1587,""en"",""ko"")
)"),"저는 영업 회의를 주도하는 게 좀 떨려요.
준비를 잘 하셨네요. 이제 당신이 빛을 발할 순간이에요.")</f>
        <v>저는 영업 회의를 주도하는 게 좀 떨려요.
준비를 잘 하셨네요. 이제 당신이 빛을 발할 순간이에요.</v>
      </c>
      <c r="F1587" s="10" t="s">
        <v>3026</v>
      </c>
    </row>
    <row r="1588" ht="36.75" customHeight="1">
      <c r="A1588" s="5">
        <v>1664.0</v>
      </c>
      <c r="B1588" s="6">
        <v>260110.0</v>
      </c>
      <c r="C1588" s="4"/>
      <c r="D1588" s="10" t="s">
        <v>3027</v>
      </c>
      <c r="E1588" s="8" t="str">
        <f>IFERROR(__xludf.DUMMYFUNCTION("IF(
  LEN(TRIM(D1588))=0,
  ""왼쪽에 영어 문장을 입력하세요"",
  GOOGLETRANSLATE(D1588,""en"",""ko"")
)"),"이제 내가 주도권을 쥐고 있다는 게 어색하게 느껴질 거야.
곧 익숙해질 거야. 자신감은 연습을 통해 생기는 거니까.")</f>
        <v>이제 내가 주도권을 쥐고 있다는 게 어색하게 느껴질 거야.
곧 익숙해질 거야. 자신감은 연습을 통해 생기는 거니까.</v>
      </c>
      <c r="F1588" s="10" t="s">
        <v>3028</v>
      </c>
    </row>
    <row r="1589" ht="20.25" customHeight="1">
      <c r="A1589" s="5">
        <v>1665.0</v>
      </c>
      <c r="B1589" s="6">
        <v>260110.0</v>
      </c>
      <c r="C1589" s="4"/>
      <c r="D1589" s="10" t="s">
        <v>2657</v>
      </c>
      <c r="E1589" s="8" t="str">
        <f>IFERROR(__xludf.DUMMYFUNCTION("IF(
  LEN(TRIM(D1589))=0,
  ""왼쪽에 영어 문장을 입력하세요"",
  GOOGLETRANSLATE(D1589,""en"",""ko"")
)"),"대사")</f>
        <v>대사</v>
      </c>
      <c r="F1589" s="10" t="s">
        <v>3029</v>
      </c>
    </row>
    <row r="1590" ht="20.25" customHeight="1">
      <c r="A1590" s="5">
        <v>1666.0</v>
      </c>
      <c r="B1590" s="6">
        <v>260110.0</v>
      </c>
      <c r="C1590" s="4"/>
      <c r="D1590" s="10" t="s">
        <v>3030</v>
      </c>
      <c r="E1590" s="8" t="str">
        <f>IFERROR(__xludf.DUMMYFUNCTION("IF(
  LEN(TRIM(D1590))=0,
  ""왼쪽에 영어 문장을 입력하세요"",
  GOOGLETRANSLATE(D1590,""en"",""ko"")
)"),"자기 탐닉")</f>
        <v>자기 탐닉</v>
      </c>
      <c r="F1590" s="10" t="s">
        <v>3031</v>
      </c>
    </row>
    <row r="1591" ht="20.25" customHeight="1">
      <c r="A1591" s="5">
        <v>1667.0</v>
      </c>
      <c r="B1591" s="6">
        <v>260110.0</v>
      </c>
      <c r="C1591" s="4"/>
      <c r="D1591" s="10" t="s">
        <v>3032</v>
      </c>
      <c r="E1591" s="8" t="str">
        <f>IFERROR(__xludf.DUMMYFUNCTION("IF(
  LEN(TRIM(D1591))=0,
  ""왼쪽에 영어 문장을 입력하세요"",
  GOOGLETRANSLATE(D1591,""en"",""ko"")
)"),"초콜릿 먹는 건 제가 가장 좋아하는 즐거움이에요.")</f>
        <v>초콜릿 먹는 건 제가 가장 좋아하는 즐거움이에요.</v>
      </c>
      <c r="F1591" s="10" t="s">
        <v>3033</v>
      </c>
    </row>
    <row r="1592" ht="20.25" customHeight="1">
      <c r="A1592" s="5">
        <v>1668.0</v>
      </c>
      <c r="B1592" s="6">
        <v>260110.0</v>
      </c>
      <c r="C1592" s="4"/>
      <c r="D1592" s="10" t="s">
        <v>3034</v>
      </c>
      <c r="E1592" s="8" t="str">
        <f>IFERROR(__xludf.DUMMYFUNCTION("IF(
  LEN(TRIM(D1592))=0,
  ""왼쪽에 영어 문장을 입력하세요"",
  GOOGLETRANSLATE(D1592,""en"",""ko"")
)"),"시스템 업데이트 중이니 양해 부탁드립니다.")</f>
        <v>시스템 업데이트 중이니 양해 부탁드립니다.</v>
      </c>
      <c r="F1592" s="10" t="s">
        <v>3033</v>
      </c>
    </row>
    <row r="1593" ht="20.25" customHeight="1">
      <c r="A1593" s="5">
        <v>1669.0</v>
      </c>
      <c r="B1593" s="6">
        <v>260110.0</v>
      </c>
      <c r="C1593" s="4"/>
      <c r="D1593" s="10" t="s">
        <v>3035</v>
      </c>
      <c r="E1593" s="8" t="str">
        <f>IFERROR(__xludf.DUMMYFUNCTION("IF(
  LEN(TRIM(D1593))=0,
  ""왼쪽에 영어 문장을 입력하세요"",
  GOOGLETRANSLATE(D1593,""en"",""ko"")
)"),"천을 끓는 물에 담그세요")</f>
        <v>천을 끓는 물에 담그세요</v>
      </c>
      <c r="F1593" s="10" t="s">
        <v>3036</v>
      </c>
    </row>
    <row r="1594" ht="20.25" customHeight="1">
      <c r="A1594" s="5">
        <v>1670.0</v>
      </c>
      <c r="B1594" s="6">
        <v>260110.0</v>
      </c>
      <c r="C1594" s="4"/>
      <c r="D1594" s="10" t="s">
        <v>3037</v>
      </c>
      <c r="E1594" s="8" t="str">
        <f>IFERROR(__xludf.DUMMYFUNCTION("IF(
  LEN(TRIM(D1594))=0,
  ""왼쪽에 영어 문장을 입력하세요"",
  GOOGLETRANSLATE(D1594,""en"",""ko"")
)"),"책에 너무 몰입해서 시간 가는 줄도 몰랐어요.")</f>
        <v>책에 너무 몰입해서 시간 가는 줄도 몰랐어요.</v>
      </c>
      <c r="F1594" s="10" t="s">
        <v>3036</v>
      </c>
    </row>
    <row r="1595" ht="20.25" customHeight="1">
      <c r="A1595" s="5">
        <v>1671.0</v>
      </c>
      <c r="B1595" s="6">
        <v>260110.0</v>
      </c>
      <c r="C1595" s="4"/>
      <c r="D1595" s="10" t="s">
        <v>3038</v>
      </c>
      <c r="E1595" s="8" t="str">
        <f>IFERROR(__xludf.DUMMYFUNCTION("IF(
  LEN(TRIM(D1595))=0,
  ""왼쪽에 영어 문장을 입력하세요"",
  GOOGLETRANSLATE(D1595,""en"",""ko"")
)"),"나는 게으름을 피웠다")</f>
        <v>나는 게으름을 피웠다</v>
      </c>
      <c r="F1595" s="10" t="s">
        <v>3039</v>
      </c>
    </row>
    <row r="1596" ht="20.25" customHeight="1">
      <c r="A1596" s="5">
        <v>1672.0</v>
      </c>
      <c r="B1596" s="6">
        <v>260110.0</v>
      </c>
      <c r="C1596" s="4"/>
      <c r="D1596" s="10" t="s">
        <v>3040</v>
      </c>
      <c r="E1596" s="8" t="str">
        <f>IFERROR(__xludf.DUMMYFUNCTION("IF(
  LEN(TRIM(D1596))=0,
  ""왼쪽에 영어 문장을 입력하세요"",
  GOOGLETRANSLATE(D1596,""en"",""ko"")
)"),"날 뭘로 생각하는 거야?")</f>
        <v>날 뭘로 생각하는 거야?</v>
      </c>
      <c r="F1596" s="10" t="s">
        <v>3041</v>
      </c>
    </row>
    <row r="1597" ht="20.25" customHeight="1">
      <c r="A1597" s="5">
        <v>1673.0</v>
      </c>
      <c r="B1597" s="6">
        <v>260110.0</v>
      </c>
      <c r="C1597" s="4"/>
      <c r="D1597" s="10" t="s">
        <v>3042</v>
      </c>
      <c r="E1597" s="8" t="str">
        <f>IFERROR(__xludf.DUMMYFUNCTION("IF(
  LEN(TRIM(D1597))=0,
  ""왼쪽에 영어 문장을 입력하세요"",
  GOOGLETRANSLATE(D1597,""en"",""ko"")
)"),"난 안 사겠어")</f>
        <v>난 안 사겠어</v>
      </c>
      <c r="F1597" s="10" t="s">
        <v>3043</v>
      </c>
    </row>
    <row r="1598" ht="20.25" customHeight="1">
      <c r="A1598" s="5">
        <v>1674.0</v>
      </c>
      <c r="B1598" s="6">
        <v>260110.0</v>
      </c>
      <c r="C1598" s="4"/>
      <c r="D1598" s="10" t="s">
        <v>3044</v>
      </c>
      <c r="E1598" s="8" t="str">
        <f>IFERROR(__xludf.DUMMYFUNCTION("IF(
  LEN(TRIM(D1598))=0,
  ""왼쪽에 영어 문장을 입력하세요"",
  GOOGLETRANSLATE(D1598,""en"",""ko"")
)"),"장난 그만 쳐")</f>
        <v>장난 그만 쳐</v>
      </c>
      <c r="F1598" s="10" t="s">
        <v>3045</v>
      </c>
    </row>
    <row r="1599" ht="20.25" customHeight="1">
      <c r="A1599" s="5">
        <v>1675.0</v>
      </c>
      <c r="B1599" s="6">
        <v>260110.0</v>
      </c>
      <c r="C1599" s="4"/>
      <c r="D1599" s="10" t="s">
        <v>3046</v>
      </c>
      <c r="E1599" s="8" t="str">
        <f>IFERROR(__xludf.DUMMYFUNCTION("IF(
  LEN(TRIM(D1599))=0,
  ""왼쪽에 영어 문장을 입력하세요"",
  GOOGLETRANSLATE(D1599,""en"",""ko"")
)"),"우린 그냥 통했어")</f>
        <v>우린 그냥 통했어</v>
      </c>
      <c r="F1599" s="10" t="s">
        <v>3047</v>
      </c>
    </row>
    <row r="1600" ht="20.25" customHeight="1">
      <c r="A1600" s="5">
        <v>1676.0</v>
      </c>
      <c r="B1600" s="6">
        <v>260110.0</v>
      </c>
      <c r="C1600" s="4"/>
      <c r="D1600" s="10" t="s">
        <v>3048</v>
      </c>
      <c r="E1600" s="8" t="str">
        <f>IFERROR(__xludf.DUMMYFUNCTION("IF(
  LEN(TRIM(D1600))=0,
  ""왼쪽에 영어 문장을 입력하세요"",
  GOOGLETRANSLATE(D1600,""en"",""ko"")
)"),"당신은 너무나 예측 가능해요")</f>
        <v>당신은 너무나 예측 가능해요</v>
      </c>
      <c r="F1600" s="10" t="s">
        <v>3049</v>
      </c>
    </row>
    <row r="1601" ht="20.25" customHeight="1">
      <c r="A1601" s="5">
        <v>1677.0</v>
      </c>
      <c r="B1601" s="6">
        <v>260110.0</v>
      </c>
      <c r="C1601" s="4"/>
      <c r="D1601" s="10" t="s">
        <v>3050</v>
      </c>
      <c r="E1601" s="8" t="str">
        <f>IFERROR(__xludf.DUMMYFUNCTION("IF(
  LEN(TRIM(D1601))=0,
  ""왼쪽에 영어 문장을 입력하세요"",
  GOOGLETRANSLATE(D1601,""en"",""ko"")
)"),"그냥 넘어가자.")</f>
        <v>그냥 넘어가자.</v>
      </c>
      <c r="F1601" s="10" t="s">
        <v>3051</v>
      </c>
    </row>
    <row r="1602" ht="20.25" customHeight="1">
      <c r="A1602" s="5">
        <v>1678.0</v>
      </c>
      <c r="B1602" s="6">
        <v>260110.0</v>
      </c>
      <c r="C1602" s="4"/>
      <c r="D1602" s="10" t="s">
        <v>3052</v>
      </c>
      <c r="E1602" s="8" t="str">
        <f>IFERROR(__xludf.DUMMYFUNCTION("IF(
  LEN(TRIM(D1602))=0,
  ""왼쪽에 영어 문장을 입력하세요"",
  GOOGLETRANSLATE(D1602,""en"",""ko"")
)"),"참고로 알려드립니다.")</f>
        <v>참고로 알려드립니다.</v>
      </c>
      <c r="F1602" s="10" t="s">
        <v>3053</v>
      </c>
    </row>
    <row r="1603" ht="20.25" customHeight="1">
      <c r="A1603" s="5">
        <v>1679.0</v>
      </c>
      <c r="B1603" s="6">
        <v>260110.0</v>
      </c>
      <c r="C1603" s="4"/>
      <c r="D1603" s="10" t="s">
        <v>3054</v>
      </c>
      <c r="E1603" s="8" t="str">
        <f>IFERROR(__xludf.DUMMYFUNCTION("IF(
  LEN(TRIM(D1603))=0,
  ""왼쪽에 영어 문장을 입력하세요"",
  GOOGLETRANSLATE(D1603,""en"",""ko"")
)"),"헛소리 그만해")</f>
        <v>헛소리 그만해</v>
      </c>
      <c r="F1603" s="10" t="s">
        <v>3055</v>
      </c>
    </row>
    <row r="1604" ht="20.25" customHeight="1">
      <c r="A1604" s="5">
        <v>1680.0</v>
      </c>
      <c r="B1604" s="6">
        <v>260110.0</v>
      </c>
      <c r="C1604" s="4"/>
      <c r="D1604" s="10" t="s">
        <v>3056</v>
      </c>
      <c r="E1604" s="8" t="str">
        <f>IFERROR(__xludf.DUMMYFUNCTION("IF(
  LEN(TRIM(D1604))=0,
  ""왼쪽에 영어 문장을 입력하세요"",
  GOOGLETRANSLATE(D1604,""en"",""ko"")
)"),"그는 뻔뻔스럽다")</f>
        <v>그는 뻔뻔스럽다</v>
      </c>
      <c r="F1604" s="10" t="s">
        <v>3057</v>
      </c>
    </row>
    <row r="1605" ht="20.25" customHeight="1">
      <c r="A1605" s="5">
        <v>1681.0</v>
      </c>
      <c r="B1605" s="6">
        <v>260110.0</v>
      </c>
      <c r="C1605" s="4"/>
      <c r="D1605" s="10" t="s">
        <v>3058</v>
      </c>
      <c r="E1605" s="8" t="str">
        <f>IFERROR(__xludf.DUMMYFUNCTION("IF(
  LEN(TRIM(D1605))=0,
  ""왼쪽에 영어 문장을 입력하세요"",
  GOOGLETRANSLATE(D1605,""en"",""ko"")
)"),"난 당신을 가질 자격이 없어요")</f>
        <v>난 당신을 가질 자격이 없어요</v>
      </c>
      <c r="F1605" s="10" t="s">
        <v>3059</v>
      </c>
    </row>
    <row r="1606" ht="20.25" customHeight="1">
      <c r="A1606" s="5">
        <v>1682.0</v>
      </c>
      <c r="B1606" s="6">
        <v>260110.0</v>
      </c>
      <c r="C1606" s="4"/>
      <c r="D1606" s="10" t="s">
        <v>3060</v>
      </c>
      <c r="E1606" s="8" t="str">
        <f>IFERROR(__xludf.DUMMYFUNCTION("IF(
  LEN(TRIM(D1606))=0,
  ""왼쪽에 영어 문장을 입력하세요"",
  GOOGLETRANSLATE(D1606,""en"",""ko"")
)"),"그는 말만 번지르르하다")</f>
        <v>그는 말만 번지르르하다</v>
      </c>
      <c r="F1606" s="10" t="s">
        <v>3061</v>
      </c>
    </row>
    <row r="1607" ht="20.25" customHeight="1">
      <c r="A1607" s="5">
        <v>1683.0</v>
      </c>
      <c r="B1607" s="6">
        <v>260110.0</v>
      </c>
      <c r="C1607" s="4"/>
      <c r="D1607" s="10" t="s">
        <v>3062</v>
      </c>
      <c r="E1607" s="8" t="str">
        <f>IFERROR(__xludf.DUMMYFUNCTION("IF(
  LEN(TRIM(D1607))=0,
  ""왼쪽에 영어 문장을 입력하세요"",
  GOOGLETRANSLATE(D1607,""en"",""ko"")
)"),"이 정도라도 없는 것보다는 낫죠.")</f>
        <v>이 정도라도 없는 것보다는 낫죠.</v>
      </c>
      <c r="F1607" s="10" t="s">
        <v>3063</v>
      </c>
    </row>
    <row r="1608" ht="20.25" customHeight="1">
      <c r="A1608" s="5">
        <v>1684.0</v>
      </c>
      <c r="B1608" s="6">
        <v>260110.0</v>
      </c>
      <c r="C1608" s="4"/>
      <c r="D1608" s="10" t="s">
        <v>3064</v>
      </c>
      <c r="E1608" s="8" t="str">
        <f>IFERROR(__xludf.DUMMYFUNCTION("IF(
  LEN(TRIM(D1608))=0,
  ""왼쪽에 영어 문장을 입력하세요"",
  GOOGLETRANSLATE(D1608,""en"",""ko"")
)"),"당신이 사장님입니다")</f>
        <v>당신이 사장님입니다</v>
      </c>
      <c r="F1608" s="10" t="s">
        <v>3065</v>
      </c>
    </row>
    <row r="1609" ht="20.25" customHeight="1">
      <c r="A1609" s="5">
        <v>1685.0</v>
      </c>
      <c r="B1609" s="6">
        <v>260110.0</v>
      </c>
      <c r="C1609" s="4"/>
      <c r="D1609" s="10" t="s">
        <v>3066</v>
      </c>
      <c r="E1609" s="8" t="str">
        <f>IFERROR(__xludf.DUMMYFUNCTION("IF(
  LEN(TRIM(D1609))=0,
  ""왼쪽에 영어 문장을 입력하세요"",
  GOOGLETRANSLATE(D1609,""en"",""ko"")
)"),"그 정도로 끝내자.")</f>
        <v>그 정도로 끝내자.</v>
      </c>
      <c r="F1609" s="10" t="s">
        <v>3067</v>
      </c>
    </row>
    <row r="1610" ht="20.25" customHeight="1">
      <c r="A1610" s="5">
        <v>1686.0</v>
      </c>
      <c r="B1610" s="6">
        <v>260110.0</v>
      </c>
      <c r="C1610" s="4"/>
      <c r="D1610" s="10" t="s">
        <v>3068</v>
      </c>
      <c r="E1610" s="8" t="str">
        <f>IFERROR(__xludf.DUMMYFUNCTION("IF(
  LEN(TRIM(D1610))=0,
  ""왼쪽에 영어 문장을 입력하세요"",
  GOOGLETRANSLATE(D1610,""en"",""ko"")
)"),"물론이죠")</f>
        <v>물론이죠</v>
      </c>
      <c r="F1610" s="10" t="s">
        <v>3069</v>
      </c>
    </row>
    <row r="1611" ht="20.25" customHeight="1">
      <c r="A1611" s="5">
        <v>1687.0</v>
      </c>
      <c r="B1611" s="6">
        <v>260110.0</v>
      </c>
      <c r="C1611" s="4"/>
      <c r="D1611" s="10" t="s">
        <v>3070</v>
      </c>
      <c r="E1611" s="8" t="str">
        <f>IFERROR(__xludf.DUMMYFUNCTION("IF(
  LEN(TRIM(D1611))=0,
  ""왼쪽에 영어 문장을 입력하세요"",
  GOOGLETRANSLATE(D1611,""en"",""ko"")
)"),"그건 취소할게요.")</f>
        <v>그건 취소할게요.</v>
      </c>
      <c r="F1611" s="10" t="s">
        <v>3071</v>
      </c>
    </row>
    <row r="1612" ht="20.25" customHeight="1">
      <c r="A1612" s="5">
        <v>1688.0</v>
      </c>
      <c r="B1612" s="6">
        <v>260110.0</v>
      </c>
      <c r="C1612" s="4"/>
      <c r="D1612" s="10" t="s">
        <v>3072</v>
      </c>
      <c r="E1612" s="8" t="str">
        <f>IFERROR(__xludf.DUMMYFUNCTION("IF(
  LEN(TRIM(D1612))=0,
  ""왼쪽에 영어 문장을 입력하세요"",
  GOOGLETRANSLATE(D1612,""en"",""ko"")
)"),"모두에게 적합한 것은 아닙니다.")</f>
        <v>모두에게 적합한 것은 아닙니다.</v>
      </c>
      <c r="F1612" s="10" t="s">
        <v>3073</v>
      </c>
    </row>
    <row r="1613" ht="20.25" customHeight="1">
      <c r="A1613" s="5">
        <v>1689.0</v>
      </c>
      <c r="B1613" s="6">
        <v>260110.0</v>
      </c>
      <c r="C1613" s="4"/>
      <c r="D1613" s="10" t="s">
        <v>3074</v>
      </c>
      <c r="E1613" s="8" t="str">
        <f>IFERROR(__xludf.DUMMYFUNCTION("IF(
  LEN(TRIM(D1613))=0,
  ""왼쪽에 영어 문장을 입력하세요"",
  GOOGLETRANSLATE(D1613,""en"",""ko"")
)"),"수상한 냄새가 나네")</f>
        <v>수상한 냄새가 나네</v>
      </c>
      <c r="F1613" s="10" t="s">
        <v>3075</v>
      </c>
    </row>
    <row r="1614" ht="20.25" customHeight="1">
      <c r="A1614" s="5">
        <v>1690.0</v>
      </c>
      <c r="B1614" s="6">
        <v>260110.0</v>
      </c>
      <c r="C1614" s="4"/>
      <c r="D1614" s="10" t="s">
        <v>3076</v>
      </c>
      <c r="E1614" s="8" t="str">
        <f>IFERROR(__xludf.DUMMYFUNCTION("IF(
  LEN(TRIM(D1614))=0,
  ""왼쪽에 영어 문장을 입력하세요"",
  GOOGLETRANSLATE(D1614,""en"",""ko"")
)"),"무슨 일로 오셨나요?")</f>
        <v>무슨 일로 오셨나요?</v>
      </c>
      <c r="F1614" s="10" t="s">
        <v>3077</v>
      </c>
    </row>
    <row r="1615" ht="20.25" customHeight="1">
      <c r="A1615" s="5">
        <v>1691.0</v>
      </c>
      <c r="B1615" s="6">
        <v>260110.0</v>
      </c>
      <c r="C1615" s="4"/>
      <c r="D1615" s="10" t="s">
        <v>3078</v>
      </c>
      <c r="E1615" s="8" t="str">
        <f>IFERROR(__xludf.DUMMYFUNCTION("IF(
  LEN(TRIM(D1615))=0,
  ""왼쪽에 영어 문장을 입력하세요"",
  GOOGLETRANSLATE(D1615,""en"",""ko"")
)"),"내 취향이 아니야")</f>
        <v>내 취향이 아니야</v>
      </c>
      <c r="F1615" s="9"/>
    </row>
    <row r="1616" ht="20.25" customHeight="1">
      <c r="A1616" s="5">
        <v>1692.0</v>
      </c>
      <c r="B1616" s="6">
        <v>260110.0</v>
      </c>
      <c r="C1616" s="4"/>
      <c r="D1616" s="10" t="s">
        <v>3079</v>
      </c>
      <c r="E1616" s="8" t="str">
        <f>IFERROR(__xludf.DUMMYFUNCTION("IF(
  LEN(TRIM(D1616))=0,
  ""왼쪽에 영어 문장을 입력하세요"",
  GOOGLETRANSLATE(D1616,""en"",""ko"")
)"),"다음에 다시 이야기하죠.")</f>
        <v>다음에 다시 이야기하죠.</v>
      </c>
      <c r="F1616" s="10" t="s">
        <v>3080</v>
      </c>
    </row>
    <row r="1617" ht="20.25" customHeight="1">
      <c r="A1617" s="5">
        <v>1693.0</v>
      </c>
      <c r="B1617" s="6">
        <v>260110.0</v>
      </c>
      <c r="C1617" s="4"/>
      <c r="D1617" s="10" t="s">
        <v>3081</v>
      </c>
      <c r="E1617" s="8" t="str">
        <f>IFERROR(__xludf.DUMMYFUNCTION("IF(
  LEN(TRIM(D1617))=0,
  ""왼쪽에 영어 문장을 입력하세요"",
  GOOGLETRANSLATE(D1617,""en"",""ko"")
)"),"그것은 당연한 일이다")</f>
        <v>그것은 당연한 일이다</v>
      </c>
      <c r="F1617" s="10" t="s">
        <v>3082</v>
      </c>
    </row>
    <row r="1618" ht="20.25" customHeight="1">
      <c r="A1618" s="5">
        <v>1694.0</v>
      </c>
      <c r="B1618" s="6">
        <v>260110.0</v>
      </c>
      <c r="C1618" s="4"/>
      <c r="D1618" s="10" t="s">
        <v>3083</v>
      </c>
      <c r="E1618" s="8" t="str">
        <f>IFERROR(__xludf.DUMMYFUNCTION("IF(
  LEN(TRIM(D1618))=0,
  ""왼쪽에 영어 문장을 입력하세요"",
  GOOGLETRANSLATE(D1618,""en"",""ko"")
)"),"내 길에서 비켜!")</f>
        <v>내 길에서 비켜!</v>
      </c>
      <c r="F1618" s="10" t="s">
        <v>3084</v>
      </c>
    </row>
    <row r="1619" ht="20.25" customHeight="1">
      <c r="A1619" s="5">
        <v>1695.0</v>
      </c>
      <c r="B1619" s="6">
        <v>260110.0</v>
      </c>
      <c r="C1619" s="4"/>
      <c r="D1619" s="10" t="s">
        <v>3085</v>
      </c>
      <c r="E1619" s="8" t="str">
        <f>IFERROR(__xludf.DUMMYFUNCTION("IF(
  LEN(TRIM(D1619))=0,
  ""왼쪽에 영어 문장을 입력하세요"",
  GOOGLETRANSLATE(D1619,""en"",""ko"")
)"),"저는 그 정도는 감수할 수 있어요.")</f>
        <v>저는 그 정도는 감수할 수 있어요.</v>
      </c>
      <c r="F1619" s="9"/>
    </row>
    <row r="1620" ht="20.25" customHeight="1">
      <c r="A1620" s="5">
        <v>1696.0</v>
      </c>
      <c r="B1620" s="6">
        <v>260110.0</v>
      </c>
      <c r="C1620" s="4"/>
      <c r="D1620" s="10" t="s">
        <v>3086</v>
      </c>
      <c r="E1620" s="8" t="str">
        <f>IFERROR(__xludf.DUMMYFUNCTION("IF(
  LEN(TRIM(D1620))=0,
  ""왼쪽에 영어 문장을 입력하세요"",
  GOOGLETRANSLATE(D1620,""en"",""ko"")
)"),"돼지가 하늘을 날 때")</f>
        <v>돼지가 하늘을 날 때</v>
      </c>
      <c r="F1620" s="10" t="s">
        <v>3087</v>
      </c>
    </row>
    <row r="1621" ht="20.25" customHeight="1">
      <c r="A1621" s="5">
        <v>1697.0</v>
      </c>
      <c r="B1621" s="6">
        <v>260110.0</v>
      </c>
      <c r="C1621" s="4"/>
      <c r="D1621" s="10" t="s">
        <v>2706</v>
      </c>
      <c r="E1621" s="8" t="str">
        <f>IFERROR(__xludf.DUMMYFUNCTION("IF(
  LEN(TRIM(D1621))=0,
  ""왼쪽에 영어 문장을 입력하세요"",
  GOOGLETRANSLATE(D1621,""en"",""ko"")
)"),"누가 누굴 보고 말하는 거야?")</f>
        <v>누가 누굴 보고 말하는 거야?</v>
      </c>
      <c r="F1621" s="10" t="s">
        <v>3088</v>
      </c>
    </row>
    <row r="1622" ht="20.25" customHeight="1">
      <c r="A1622" s="5">
        <v>1698.0</v>
      </c>
      <c r="B1622" s="6">
        <v>260110.0</v>
      </c>
      <c r="C1622" s="4"/>
      <c r="D1622" s="10" t="s">
        <v>3089</v>
      </c>
      <c r="E1622" s="8" t="str">
        <f>IFERROR(__xludf.DUMMYFUNCTION("IF(
  LEN(TRIM(D1622))=0,
  ""왼쪽에 영어 문장을 입력하세요"",
  GOOGLETRANSLATE(D1622,""en"",""ko"")
)"),"제 말을 믿으세요")</f>
        <v>제 말을 믿으세요</v>
      </c>
      <c r="F1622" s="10" t="s">
        <v>3090</v>
      </c>
    </row>
    <row r="1623" ht="20.25" customHeight="1">
      <c r="A1623" s="5">
        <v>1699.0</v>
      </c>
      <c r="B1623" s="6">
        <v>260110.0</v>
      </c>
      <c r="C1623" s="4"/>
      <c r="D1623" s="10" t="s">
        <v>3091</v>
      </c>
      <c r="E1623" s="8" t="str">
        <f>IFERROR(__xludf.DUMMYFUNCTION("IF(
  LEN(TRIM(D1623))=0,
  ""왼쪽에 영어 문장을 입력하세요"",
  GOOGLETRANSLATE(D1623,""en"",""ko"")
)"),"내 입술을 읽어봐")</f>
        <v>내 입술을 읽어봐</v>
      </c>
      <c r="F1623" s="10" t="s">
        <v>3092</v>
      </c>
    </row>
    <row r="1624" ht="20.25" customHeight="1">
      <c r="A1624" s="5">
        <v>1700.0</v>
      </c>
      <c r="B1624" s="6">
        <v>260110.0</v>
      </c>
      <c r="C1624" s="4"/>
      <c r="D1624" s="10" t="s">
        <v>3093</v>
      </c>
      <c r="E1624" s="8" t="str">
        <f>IFERROR(__xludf.DUMMYFUNCTION("IF(
  LEN(TRIM(D1624))=0,
  ""왼쪽에 영어 문장을 입력하세요"",
  GOOGLETRANSLATE(D1624,""en"",""ko"")
)"),"모두가 알고 있지만 언급하지 않는 문제")</f>
        <v>모두가 알고 있지만 언급하지 않는 문제</v>
      </c>
      <c r="F1624" s="10" t="s">
        <v>3094</v>
      </c>
    </row>
    <row r="1625" ht="20.25" customHeight="1">
      <c r="A1625" s="5">
        <v>1701.0</v>
      </c>
      <c r="B1625" s="6">
        <v>260110.0</v>
      </c>
      <c r="C1625" s="4"/>
      <c r="D1625" s="10" t="s">
        <v>3095</v>
      </c>
      <c r="E1625" s="8" t="str">
        <f>IFERROR(__xludf.DUMMYFUNCTION("IF(
  LEN(TRIM(D1625))=0,
  ""왼쪽에 영어 문장을 입력하세요"",
  GOOGLETRANSLATE(D1625,""en"",""ko"")
)"),"이 또한 지나가리라")</f>
        <v>이 또한 지나가리라</v>
      </c>
      <c r="F1625" s="10" t="s">
        <v>3096</v>
      </c>
    </row>
    <row r="1626" ht="20.25" customHeight="1">
      <c r="A1626" s="5">
        <v>1702.0</v>
      </c>
      <c r="B1626" s="6">
        <v>260110.0</v>
      </c>
      <c r="C1626" s="4"/>
      <c r="D1626" s="10" t="s">
        <v>3097</v>
      </c>
      <c r="E1626" s="8" t="str">
        <f>IFERROR(__xludf.DUMMYFUNCTION("IF(
  LEN(TRIM(D1626))=0,
  ""왼쪽에 영어 문장을 입력하세요"",
  GOOGLETRANSLATE(D1626,""en"",""ko"")
)"),"맹세코")</f>
        <v>맹세코</v>
      </c>
      <c r="F1626" s="10" t="s">
        <v>3098</v>
      </c>
    </row>
    <row r="1627" ht="20.25" customHeight="1">
      <c r="A1627" s="5">
        <v>1703.0</v>
      </c>
      <c r="B1627" s="6">
        <v>260110.0</v>
      </c>
      <c r="C1627" s="4"/>
      <c r="D1627" s="10" t="s">
        <v>3099</v>
      </c>
      <c r="E1627" s="8" t="str">
        <f>IFERROR(__xludf.DUMMYFUNCTION("IF(
  LEN(TRIM(D1627))=0,
  ""왼쪽에 영어 문장을 입력하세요"",
  GOOGLETRANSLATE(D1627,""en"",""ko"")
)"),"오해하지 마세요")</f>
        <v>오해하지 마세요</v>
      </c>
      <c r="F1627" s="10" t="s">
        <v>3100</v>
      </c>
    </row>
    <row r="1628" ht="20.25" customHeight="1">
      <c r="A1628" s="5">
        <v>1704.0</v>
      </c>
      <c r="B1628" s="6">
        <v>260110.0</v>
      </c>
      <c r="C1628" s="4"/>
      <c r="D1628" s="10" t="s">
        <v>3101</v>
      </c>
      <c r="E1628" s="8" t="str">
        <f>IFERROR(__xludf.DUMMYFUNCTION("IF(
  LEN(TRIM(D1628))=0,
  ""왼쪽에 영어 문장을 입력하세요"",
  GOOGLETRANSLATE(D1628,""en"",""ko"")
)"),"안 될 이유가 없다고 생각해요.")</f>
        <v>안 될 이유가 없다고 생각해요.</v>
      </c>
      <c r="F1628" s="10" t="s">
        <v>3102</v>
      </c>
    </row>
    <row r="1629" ht="20.25" customHeight="1">
      <c r="A1629" s="5">
        <v>1705.0</v>
      </c>
      <c r="B1629" s="6">
        <v>260110.0</v>
      </c>
      <c r="C1629" s="4"/>
      <c r="D1629" s="10" t="s">
        <v>3103</v>
      </c>
      <c r="E1629" s="8" t="str">
        <f>IFERROR(__xludf.DUMMYFUNCTION("IF(
  LEN(TRIM(D1629))=0,
  ""왼쪽에 영어 문장을 입력하세요"",
  GOOGLETRANSLATE(D1629,""en"",""ko"")
)"),"자, 시작해 볼까요?")</f>
        <v>자, 시작해 볼까요?</v>
      </c>
      <c r="F1629" s="10" t="s">
        <v>3104</v>
      </c>
    </row>
    <row r="1630" ht="20.25" customHeight="1">
      <c r="A1630" s="5">
        <v>1706.0</v>
      </c>
      <c r="B1630" s="6">
        <v>260110.0</v>
      </c>
      <c r="C1630" s="4"/>
      <c r="D1630" s="10" t="s">
        <v>3105</v>
      </c>
      <c r="E1630" s="8" t="str">
        <f>IFERROR(__xludf.DUMMYFUNCTION("IF(
  LEN(TRIM(D1630))=0,
  ""왼쪽에 영어 문장을 입력하세요"",
  GOOGLETRANSLATE(D1630,""en"",""ko"")
)"),"당신은 경쟁력을 잃었습니다")</f>
        <v>당신은 경쟁력을 잃었습니다</v>
      </c>
      <c r="F1630" s="10" t="s">
        <v>3106</v>
      </c>
    </row>
    <row r="1631" ht="20.25" customHeight="1">
      <c r="A1631" s="5">
        <v>1707.0</v>
      </c>
      <c r="B1631" s="6">
        <v>260110.0</v>
      </c>
      <c r="C1631" s="4"/>
      <c r="D1631" s="10" t="s">
        <v>3107</v>
      </c>
      <c r="E1631" s="8" t="str">
        <f>IFERROR(__xludf.DUMMYFUNCTION("IF(
  LEN(TRIM(D1631))=0,
  ""왼쪽에 영어 문장을 입력하세요"",
  GOOGLETRANSLATE(D1631,""en"",""ko"")
)"),"섣부른 판단은 금물입니다.")</f>
        <v>섣부른 판단은 금물입니다.</v>
      </c>
      <c r="F1631" s="10" t="s">
        <v>3108</v>
      </c>
    </row>
    <row r="1632" ht="20.25" customHeight="1">
      <c r="A1632" s="5">
        <v>1708.0</v>
      </c>
      <c r="B1632" s="6">
        <v>260110.0</v>
      </c>
      <c r="C1632" s="4"/>
      <c r="D1632" s="10" t="s">
        <v>3109</v>
      </c>
      <c r="E1632" s="8" t="str">
        <f>IFERROR(__xludf.DUMMYFUNCTION("IF(
  LEN(TRIM(D1632))=0,
  ""왼쪽에 영어 문장을 입력하세요"",
  GOOGLETRANSLATE(D1632,""en"",""ko"")
)"),"그건 부자네요")</f>
        <v>그건 부자네요</v>
      </c>
      <c r="F1632" s="10" t="s">
        <v>3110</v>
      </c>
    </row>
    <row r="1633" ht="20.25" customHeight="1">
      <c r="A1633" s="5">
        <v>1709.0</v>
      </c>
      <c r="B1633" s="6">
        <v>260110.0</v>
      </c>
      <c r="C1633" s="4"/>
      <c r="D1633" s="10" t="s">
        <v>3111</v>
      </c>
      <c r="E1633" s="8" t="str">
        <f>IFERROR(__xludf.DUMMYFUNCTION("IF(
  LEN(TRIM(D1633))=0,
  ""왼쪽에 영어 문장을 입력하세요"",
  GOOGLETRANSLATE(D1633,""en"",""ko"")
)"),"나는 줄을 당겼다")</f>
        <v>나는 줄을 당겼다</v>
      </c>
      <c r="F1633" s="10" t="s">
        <v>3112</v>
      </c>
    </row>
    <row r="1634" ht="20.25" customHeight="1">
      <c r="A1634" s="5">
        <v>1710.0</v>
      </c>
      <c r="B1634" s="6">
        <v>260110.0</v>
      </c>
      <c r="C1634" s="4"/>
      <c r="D1634" s="10" t="s">
        <v>3113</v>
      </c>
      <c r="E1634" s="8" t="str">
        <f>IFERROR(__xludf.DUMMYFUNCTION("IF(
  LEN(TRIM(D1634))=0,
  ""왼쪽에 영어 문장을 입력하세요"",
  GOOGLETRANSLATE(D1634,""en"",""ko"")
)"),"그 자리에 있거나 아니면 촌스러워 보일 거예요.")</f>
        <v>그 자리에 있거나 아니면 촌스러워 보일 거예요.</v>
      </c>
      <c r="F1634" s="10" t="s">
        <v>3114</v>
      </c>
    </row>
    <row r="1635" ht="20.25" customHeight="1">
      <c r="A1635" s="5">
        <v>1711.0</v>
      </c>
      <c r="B1635" s="6">
        <v>260110.0</v>
      </c>
      <c r="C1635" s="4"/>
      <c r="D1635" s="10" t="s">
        <v>3115</v>
      </c>
      <c r="E1635" s="8" t="str">
        <f>IFERROR(__xludf.DUMMYFUNCTION("IF(
  LEN(TRIM(D1635))=0,
  ""왼쪽에 영어 문장을 입력하세요"",
  GOOGLETRANSLATE(D1635,""en"",""ko"")
)"),"그거 주지 마")</f>
        <v>그거 주지 마</v>
      </c>
      <c r="F1635" s="10" t="s">
        <v>3116</v>
      </c>
    </row>
    <row r="1636" ht="20.25" customHeight="1">
      <c r="A1636" s="5">
        <v>1712.0</v>
      </c>
      <c r="B1636" s="6">
        <v>260110.0</v>
      </c>
      <c r="C1636" s="4"/>
      <c r="D1636" s="10" t="s">
        <v>3117</v>
      </c>
      <c r="E1636" s="8" t="str">
        <f>IFERROR(__xludf.DUMMYFUNCTION("IF(
  LEN(TRIM(D1636))=0,
  ""왼쪽에 영어 문장을 입력하세요"",
  GOOGLETRANSLATE(D1636,""en"",""ko"")
)"),"완벽함이 아닌 발전")</f>
        <v>완벽함이 아닌 발전</v>
      </c>
      <c r="F1636" s="10" t="s">
        <v>3118</v>
      </c>
    </row>
    <row r="1637" ht="20.25" customHeight="1">
      <c r="A1637" s="5">
        <v>1713.0</v>
      </c>
      <c r="B1637" s="6">
        <v>260110.0</v>
      </c>
      <c r="C1637" s="4"/>
      <c r="D1637" s="10" t="s">
        <v>3119</v>
      </c>
      <c r="E1637" s="8" t="str">
        <f>IFERROR(__xludf.DUMMYFUNCTION("IF(
  LEN(TRIM(D1637))=0,
  ""왼쪽에 영어 문장을 입력하세요"",
  GOOGLETRANSLATE(D1637,""en"",""ko"")
)"),"안락함은 성장을 저해한다.")</f>
        <v>안락함은 성장을 저해한다.</v>
      </c>
      <c r="F1637" s="10" t="s">
        <v>3120</v>
      </c>
    </row>
    <row r="1638" ht="20.25" customHeight="1">
      <c r="A1638" s="5">
        <v>1714.0</v>
      </c>
      <c r="B1638" s="6">
        <v>260110.0</v>
      </c>
      <c r="C1638" s="4"/>
      <c r="D1638" s="10" t="s">
        <v>3121</v>
      </c>
      <c r="E1638" s="8" t="str">
        <f>IFERROR(__xludf.DUMMYFUNCTION("IF(
  LEN(TRIM(D1638))=0,
  ""왼쪽에 영어 문장을 입력하세요"",
  GOOGLETRANSLATE(D1638,""en"",""ko"")
)"),"열정을 잃지 마세요")</f>
        <v>열정을 잃지 마세요</v>
      </c>
      <c r="F1638" s="10" t="s">
        <v>3122</v>
      </c>
    </row>
    <row r="1639" ht="20.25" customHeight="1">
      <c r="A1639" s="5">
        <v>1715.0</v>
      </c>
      <c r="B1639" s="6">
        <v>260110.0</v>
      </c>
      <c r="C1639" s="4"/>
      <c r="D1639" s="10" t="s">
        <v>3123</v>
      </c>
      <c r="E1639" s="8" t="str">
        <f>IFERROR(__xludf.DUMMYFUNCTION("IF(
  LEN(TRIM(D1639))=0,
  ""왼쪽에 영어 문장을 입력하세요"",
  GOOGLETRANSLATE(D1639,""en"",""ko"")
)"),"부담 갖지 마세요")</f>
        <v>부담 갖지 마세요</v>
      </c>
      <c r="F1639" s="10" t="s">
        <v>3124</v>
      </c>
    </row>
    <row r="1640" ht="20.25" customHeight="1">
      <c r="A1640" s="5">
        <v>1716.0</v>
      </c>
      <c r="B1640" s="6">
        <v>260110.0</v>
      </c>
      <c r="C1640" s="4"/>
      <c r="D1640" s="10" t="s">
        <v>3125</v>
      </c>
      <c r="E1640" s="8" t="str">
        <f>IFERROR(__xludf.DUMMYFUNCTION("IF(
  LEN(TRIM(D1640))=0,
  ""왼쪽에 영어 문장을 입력하세요"",
  GOOGLETRANSLATE(D1640,""en"",""ko"")
)"),"나는 약간 예민해져 있다")</f>
        <v>나는 약간 예민해져 있다</v>
      </c>
      <c r="F1640" s="10" t="s">
        <v>3126</v>
      </c>
    </row>
    <row r="1641" ht="20.25" customHeight="1">
      <c r="A1641" s="5">
        <v>1717.0</v>
      </c>
      <c r="B1641" s="6">
        <v>260110.0</v>
      </c>
      <c r="C1641" s="4"/>
      <c r="D1641" s="10" t="s">
        <v>3127</v>
      </c>
      <c r="E1641" s="8" t="str">
        <f>IFERROR(__xludf.DUMMYFUNCTION("IF(
  LEN(TRIM(D1641))=0,
  ""왼쪽에 영어 문장을 입력하세요"",
  GOOGLETRANSLATE(D1641,""en"",""ko"")
)"),"저도 같이 가도 될까요?")</f>
        <v>저도 같이 가도 될까요?</v>
      </c>
      <c r="F1641" s="10" t="s">
        <v>3128</v>
      </c>
    </row>
    <row r="1642" ht="20.25" customHeight="1">
      <c r="A1642" s="5">
        <v>1718.0</v>
      </c>
      <c r="B1642" s="6">
        <v>260110.0</v>
      </c>
      <c r="C1642" s="4"/>
      <c r="D1642" s="10" t="s">
        <v>3129</v>
      </c>
      <c r="E1642" s="8" t="str">
        <f>IFERROR(__xludf.DUMMYFUNCTION("IF(
  LEN(TRIM(D1642))=0,
  ""왼쪽에 영어 문장을 입력하세요"",
  GOOGLETRANSLATE(D1642,""en"",""ko"")
)"),"어떻게 생각하세요?")</f>
        <v>어떻게 생각하세요?</v>
      </c>
      <c r="F1642" s="10" t="s">
        <v>3130</v>
      </c>
    </row>
    <row r="1643" ht="20.25" customHeight="1">
      <c r="A1643" s="5">
        <v>1719.0</v>
      </c>
      <c r="B1643" s="6">
        <v>260110.0</v>
      </c>
      <c r="C1643" s="4"/>
      <c r="D1643" s="10" t="s">
        <v>3131</v>
      </c>
      <c r="E1643" s="8" t="str">
        <f>IFERROR(__xludf.DUMMYFUNCTION("IF(
  LEN(TRIM(D1643))=0,
  ""왼쪽에 영어 문장을 입력하세요"",
  GOOGLETRANSLATE(D1643,""en"",""ko"")
)"),"저는 뭐든지 좋아요")</f>
        <v>저는 뭐든지 좋아요</v>
      </c>
      <c r="F1643" s="10" t="s">
        <v>3132</v>
      </c>
    </row>
    <row r="1644" ht="20.25" customHeight="1">
      <c r="A1644" s="5">
        <v>1720.0</v>
      </c>
      <c r="B1644" s="6">
        <v>260110.0</v>
      </c>
      <c r="C1644" s="4"/>
      <c r="D1644" s="10" t="s">
        <v>3133</v>
      </c>
      <c r="E1644" s="8" t="str">
        <f>IFERROR(__xludf.DUMMYFUNCTION("IF(
  LEN(TRIM(D1644))=0,
  ""왼쪽에 영어 문장을 입력하세요"",
  GOOGLETRANSLATE(D1644,""en"",""ko"")
)"),"뭔가 수상한 냄새가 나")</f>
        <v>뭔가 수상한 냄새가 나</v>
      </c>
      <c r="F1644" s="10" t="s">
        <v>3134</v>
      </c>
    </row>
    <row r="1645" ht="20.25" customHeight="1">
      <c r="A1645" s="5">
        <v>1721.0</v>
      </c>
      <c r="B1645" s="6">
        <v>260110.0</v>
      </c>
      <c r="C1645" s="4"/>
      <c r="D1645" s="10" t="s">
        <v>3135</v>
      </c>
      <c r="E1645" s="8" t="str">
        <f>IFERROR(__xludf.DUMMYFUNCTION("IF(
  LEN(TRIM(D1645))=0,
  ""왼쪽에 영어 문장을 입력하세요"",
  GOOGLETRANSLATE(D1645,""en"",""ko"")
)"),"농담이 아닙니다")</f>
        <v>농담이 아닙니다</v>
      </c>
      <c r="F1645" s="10" t="s">
        <v>3136</v>
      </c>
    </row>
    <row r="1646" ht="20.25" customHeight="1">
      <c r="A1646" s="5">
        <v>1722.0</v>
      </c>
      <c r="B1646" s="6">
        <v>260110.0</v>
      </c>
      <c r="C1646" s="4"/>
      <c r="D1646" s="10" t="s">
        <v>3137</v>
      </c>
      <c r="E1646" s="8" t="str">
        <f>IFERROR(__xludf.DUMMYFUNCTION("IF(
  LEN(TRIM(D1646))=0,
  ""왼쪽에 영어 문장을 입력하세요"",
  GOOGLETRANSLATE(D1646,""en"",""ko"")
)"),"나는 이곳에 어울리지 않는다고 느껴요.")</f>
        <v>나는 이곳에 어울리지 않는다고 느껴요.</v>
      </c>
      <c r="F1646" s="10" t="s">
        <v>3138</v>
      </c>
    </row>
    <row r="1647" ht="20.25" customHeight="1">
      <c r="A1647" s="5">
        <v>1723.0</v>
      </c>
      <c r="B1647" s="6">
        <v>260110.0</v>
      </c>
      <c r="C1647" s="4"/>
      <c r="D1647" s="10" t="s">
        <v>3139</v>
      </c>
      <c r="E1647" s="8" t="str">
        <f>IFERROR(__xludf.DUMMYFUNCTION("IF(
  LEN(TRIM(D1647))=0,
  ""왼쪽에 영어 문장을 입력하세요"",
  GOOGLETRANSLATE(D1647,""en"",""ko"")
)"),"자만하지 마세요")</f>
        <v>자만하지 마세요</v>
      </c>
      <c r="F1647" s="10" t="s">
        <v>3140</v>
      </c>
    </row>
    <row r="1648" ht="20.25" customHeight="1">
      <c r="A1648" s="5">
        <v>1724.0</v>
      </c>
      <c r="B1648" s="6">
        <v>260110.0</v>
      </c>
      <c r="C1648" s="4"/>
      <c r="D1648" s="10" t="s">
        <v>3141</v>
      </c>
      <c r="E1648" s="8" t="str">
        <f>IFERROR(__xludf.DUMMYFUNCTION("IF(
  LEN(TRIM(D1648))=0,
  ""왼쪽에 영어 문장을 입력하세요"",
  GOOGLETRANSLATE(D1648,""en"",""ko"")
)"),"왜 그렇게 시무룩해?")</f>
        <v>왜 그렇게 시무룩해?</v>
      </c>
      <c r="F1648" s="9"/>
    </row>
    <row r="1649" ht="20.25" customHeight="1">
      <c r="A1649" s="5">
        <v>1725.0</v>
      </c>
      <c r="B1649" s="6">
        <v>260110.0</v>
      </c>
      <c r="C1649" s="4"/>
      <c r="D1649" s="10" t="s">
        <v>3142</v>
      </c>
      <c r="E1649" s="8" t="str">
        <f>IFERROR(__xludf.DUMMYFUNCTION("IF(
  LEN(TRIM(D1649))=0,
  ""왼쪽에 영어 문장을 입력하세요"",
  GOOGLETRANSLATE(D1649,""en"",""ko"")
)"),"당신은 정말 특별한 사람입니다.")</f>
        <v>당신은 정말 특별한 사람입니다.</v>
      </c>
      <c r="F1649" s="10" t="s">
        <v>3143</v>
      </c>
    </row>
    <row r="1650" ht="20.25" customHeight="1">
      <c r="A1650" s="5">
        <v>1726.0</v>
      </c>
      <c r="B1650" s="6">
        <v>260110.0</v>
      </c>
      <c r="C1650" s="4"/>
      <c r="D1650" s="10" t="s">
        <v>3144</v>
      </c>
      <c r="E1650" s="8" t="str">
        <f>IFERROR(__xludf.DUMMYFUNCTION("IF(
  LEN(TRIM(D1650))=0,
  ""왼쪽에 영어 문장을 입력하세요"",
  GOOGLETRANSLATE(D1650,""en"",""ko"")
)"),"무슨 말씀을 하시려는 건가요?")</f>
        <v>무슨 말씀을 하시려는 건가요?</v>
      </c>
      <c r="F1650" s="10" t="s">
        <v>3145</v>
      </c>
    </row>
    <row r="1651" ht="20.25" customHeight="1">
      <c r="A1651" s="5">
        <v>1727.0</v>
      </c>
      <c r="B1651" s="6">
        <v>260110.0</v>
      </c>
      <c r="C1651" s="4"/>
      <c r="D1651" s="10" t="s">
        <v>3146</v>
      </c>
      <c r="E1651" s="8" t="str">
        <f>IFERROR(__xludf.DUMMYFUNCTION("IF(
  LEN(TRIM(D1651))=0,
  ""왼쪽에 영어 문장을 입력하세요"",
  GOOGLETRANSLATE(D1651,""en"",""ko"")
)"),"나는 기분이 안 좋아")</f>
        <v>나는 기분이 안 좋아</v>
      </c>
      <c r="F1651" s="10" t="s">
        <v>3147</v>
      </c>
    </row>
    <row r="1652" ht="20.25" customHeight="1">
      <c r="A1652" s="5">
        <v>1728.0</v>
      </c>
      <c r="B1652" s="6">
        <v>260110.0</v>
      </c>
      <c r="C1652" s="4"/>
      <c r="D1652" s="10" t="s">
        <v>3148</v>
      </c>
      <c r="E1652" s="8" t="str">
        <f>IFERROR(__xludf.DUMMYFUNCTION("IF(
  LEN(TRIM(D1652))=0,
  ""왼쪽에 영어 문장을 입력하세요"",
  GOOGLETRANSLATE(D1652,""en"",""ko"")
)"),"그건 당신에게 맡기겠습니다.")</f>
        <v>그건 당신에게 맡기겠습니다.</v>
      </c>
      <c r="F1652" s="10" t="s">
        <v>3149</v>
      </c>
    </row>
    <row r="1653" ht="20.25" customHeight="1">
      <c r="A1653" s="5">
        <v>1729.0</v>
      </c>
      <c r="B1653" s="6">
        <v>260110.0</v>
      </c>
      <c r="C1653" s="4"/>
      <c r="D1653" s="10" t="s">
        <v>3150</v>
      </c>
      <c r="E1653" s="8" t="str">
        <f>IFERROR(__xludf.DUMMYFUNCTION("IF(
  LEN(TRIM(D1653))=0,
  ""왼쪽에 영어 문장을 입력하세요"",
  GOOGLETRANSLATE(D1653,""en"",""ko"")
)"),"내가 당신에게는 우스갯거리인가요?")</f>
        <v>내가 당신에게는 우스갯거리인가요?</v>
      </c>
      <c r="F1653" s="10" t="s">
        <v>3151</v>
      </c>
    </row>
    <row r="1654" ht="20.25" customHeight="1">
      <c r="A1654" s="5">
        <v>1730.0</v>
      </c>
      <c r="B1654" s="6">
        <v>260110.0</v>
      </c>
      <c r="C1654" s="4"/>
      <c r="D1654" s="10" t="s">
        <v>3152</v>
      </c>
      <c r="E1654" s="8" t="str">
        <f>IFERROR(__xludf.DUMMYFUNCTION("IF(
  LEN(TRIM(D1654))=0,
  ""왼쪽에 영어 문장을 입력하세요"",
  GOOGLETRANSLATE(D1654,""en"",""ko"")
)"),"보면 볼수록 정이 드는 매력이 있어요.")</f>
        <v>보면 볼수록 정이 드는 매력이 있어요.</v>
      </c>
      <c r="F1654" s="10" t="s">
        <v>3153</v>
      </c>
    </row>
    <row r="1655" ht="20.25" customHeight="1">
      <c r="A1655" s="5">
        <v>1731.0</v>
      </c>
      <c r="B1655" s="6">
        <v>260110.0</v>
      </c>
      <c r="C1655" s="4"/>
      <c r="D1655" s="10" t="s">
        <v>3154</v>
      </c>
      <c r="E1655" s="8" t="str">
        <f>IFERROR(__xludf.DUMMYFUNCTION("IF(
  LEN(TRIM(D1655))=0,
  ""왼쪽에 영어 문장을 입력하세요"",
  GOOGLETRANSLATE(D1655,""en"",""ko"")
)"),"물어보는 건 손해 볼 게 없잖아요.")</f>
        <v>물어보는 건 손해 볼 게 없잖아요.</v>
      </c>
      <c r="F1655" s="10" t="s">
        <v>3155</v>
      </c>
    </row>
    <row r="1656" ht="20.25" customHeight="1">
      <c r="A1656" s="5">
        <v>1732.0</v>
      </c>
      <c r="B1656" s="6">
        <v>260110.0</v>
      </c>
      <c r="C1656" s="4"/>
      <c r="D1656" s="10" t="s">
        <v>3156</v>
      </c>
      <c r="E1656" s="8" t="str">
        <f>IFERROR(__xludf.DUMMYFUNCTION("IF(
  LEN(TRIM(D1656))=0,
  ""왼쪽에 영어 문장을 입력하세요"",
  GOOGLETRANSLATE(D1656,""en"",""ko"")
)"),"좋은 취지입니다")</f>
        <v>좋은 취지입니다</v>
      </c>
      <c r="F1656" s="9"/>
    </row>
    <row r="1657" ht="20.25" customHeight="1">
      <c r="A1657" s="5">
        <v>1733.0</v>
      </c>
      <c r="B1657" s="6">
        <v>260110.0</v>
      </c>
      <c r="C1657" s="4"/>
      <c r="D1657" s="10" t="s">
        <v>3157</v>
      </c>
      <c r="E1657" s="8" t="str">
        <f>IFERROR(__xludf.DUMMYFUNCTION("IF(
  LEN(TRIM(D1657))=0,
  ""왼쪽에 영어 문장을 입력하세요"",
  GOOGLETRANSLATE(D1657,""en"",""ko"")
)"),"나는 지쳤다")</f>
        <v>나는 지쳤다</v>
      </c>
      <c r="F1657" s="10" t="s">
        <v>3158</v>
      </c>
    </row>
    <row r="1658" ht="20.25" customHeight="1">
      <c r="A1658" s="5">
        <v>1734.0</v>
      </c>
      <c r="B1658" s="6">
        <v>260110.0</v>
      </c>
      <c r="C1658" s="4"/>
      <c r="D1658" s="10" t="s">
        <v>3159</v>
      </c>
      <c r="E1658" s="8" t="str">
        <f>IFERROR(__xludf.DUMMYFUNCTION("IF(
  LEN(TRIM(D1658))=0,
  ""왼쪽에 영어 문장을 입력하세요"",
  GOOGLETRANSLATE(D1658,""en"",""ko"")
)"),"이건 너무 시시해")</f>
        <v>이건 너무 시시해</v>
      </c>
      <c r="F1658" s="10" t="s">
        <v>3160</v>
      </c>
    </row>
    <row r="1659" ht="20.25" customHeight="1">
      <c r="A1659" s="5">
        <v>1735.0</v>
      </c>
      <c r="B1659" s="6">
        <v>260110.0</v>
      </c>
      <c r="C1659" s="4"/>
      <c r="D1659" s="10" t="s">
        <v>3161</v>
      </c>
      <c r="E1659" s="8" t="str">
        <f>IFERROR(__xludf.DUMMYFUNCTION("IF(
  LEN(TRIM(D1659))=0,
  ""왼쪽에 영어 문장을 입력하세요"",
  GOOGLETRANSLATE(D1659,""en"",""ko"")
)"),"조용히 해주세요")</f>
        <v>조용히 해주세요</v>
      </c>
      <c r="F1659" s="10" t="s">
        <v>3162</v>
      </c>
    </row>
    <row r="1660" ht="20.25" customHeight="1">
      <c r="A1660" s="5">
        <v>1736.0</v>
      </c>
      <c r="B1660" s="6">
        <v>260110.0</v>
      </c>
      <c r="C1660" s="4"/>
      <c r="D1660" s="10" t="s">
        <v>3163</v>
      </c>
      <c r="E1660" s="8" t="str">
        <f>IFERROR(__xludf.DUMMYFUNCTION("IF(
  LEN(TRIM(D1660))=0,
  ""왼쪽에 영어 문장을 입력하세요"",
  GOOGLETRANSLATE(D1660,""en"",""ko"")
)"),"이건 처음 듣는 소식이네요.")</f>
        <v>이건 처음 듣는 소식이네요.</v>
      </c>
      <c r="F1660" s="10" t="s">
        <v>3164</v>
      </c>
    </row>
    <row r="1661" ht="20.25" customHeight="1">
      <c r="A1661" s="5">
        <v>1737.0</v>
      </c>
      <c r="B1661" s="6">
        <v>260110.0</v>
      </c>
      <c r="C1661" s="4"/>
      <c r="D1661" s="10" t="s">
        <v>3165</v>
      </c>
      <c r="E1661" s="8" t="str">
        <f>IFERROR(__xludf.DUMMYFUNCTION("IF(
  LEN(TRIM(D1661))=0,
  ""왼쪽에 영어 문장을 입력하세요"",
  GOOGLETRANSLATE(D1661,""en"",""ko"")
)"),"나한테 화풀이하지 마")</f>
        <v>나한테 화풀이하지 마</v>
      </c>
      <c r="F1661" s="9"/>
    </row>
    <row r="1662" ht="20.25" customHeight="1">
      <c r="A1662" s="5">
        <v>1738.0</v>
      </c>
      <c r="B1662" s="6">
        <v>260110.0</v>
      </c>
      <c r="C1662" s="4"/>
      <c r="D1662" s="10" t="s">
        <v>3166</v>
      </c>
      <c r="E1662" s="8" t="str">
        <f>IFERROR(__xludf.DUMMYFUNCTION("IF(
  LEN(TRIM(D1662))=0,
  ""왼쪽에 영어 문장을 입력하세요"",
  GOOGLETRANSLATE(D1662,""en"",""ko"")
)"),"정신 차려")</f>
        <v>정신 차려</v>
      </c>
      <c r="F1662" s="9"/>
    </row>
    <row r="1663" ht="20.25" customHeight="1">
      <c r="A1663" s="5">
        <v>1739.0</v>
      </c>
      <c r="B1663" s="6">
        <v>260110.0</v>
      </c>
      <c r="C1663" s="4"/>
      <c r="D1663" s="10" t="s">
        <v>3167</v>
      </c>
      <c r="E1663" s="8" t="str">
        <f>IFERROR(__xludf.DUMMYFUNCTION("IF(
  LEN(TRIM(D1663))=0,
  ""왼쪽에 영어 문장을 입력하세요"",
  GOOGLETRANSLATE(D1663,""en"",""ko"")
)"),"이건 정말 죽여주겠어")</f>
        <v>이건 정말 죽여주겠어</v>
      </c>
      <c r="F1663" s="10" t="s">
        <v>3168</v>
      </c>
    </row>
    <row r="1664" ht="20.25" customHeight="1">
      <c r="A1664" s="5">
        <v>1740.0</v>
      </c>
      <c r="B1664" s="6">
        <v>260110.0</v>
      </c>
      <c r="C1664" s="4"/>
      <c r="D1664" s="10" t="s">
        <v>3169</v>
      </c>
      <c r="E1664" s="8" t="str">
        <f>IFERROR(__xludf.DUMMYFUNCTION("IF(
  LEN(TRIM(D1664))=0,
  ""왼쪽에 영어 문장을 입력하세요"",
  GOOGLETRANSLATE(D1664,""en"",""ko"")
)"),"식욕을 잃었다")</f>
        <v>식욕을 잃었다</v>
      </c>
      <c r="F1664" s="10" t="s">
        <v>3170</v>
      </c>
    </row>
    <row r="1665" ht="20.25" customHeight="1">
      <c r="A1665" s="5">
        <v>1741.0</v>
      </c>
      <c r="B1665" s="6">
        <v>260110.0</v>
      </c>
      <c r="C1665" s="4"/>
      <c r="D1665" s="10" t="s">
        <v>3171</v>
      </c>
      <c r="E1665" s="8" t="str">
        <f>IFERROR(__xludf.DUMMYFUNCTION("IF(
  LEN(TRIM(D1665))=0,
  ""왼쪽에 영어 문장을 입력하세요"",
  GOOGLETRANSLATE(D1665,""en"",""ko"")
)"),"점점 마음에 드네요")</f>
        <v>점점 마음에 드네요</v>
      </c>
      <c r="F1665" s="10" t="s">
        <v>3172</v>
      </c>
    </row>
    <row r="1666" ht="20.25" customHeight="1">
      <c r="A1666" s="5">
        <v>1742.0</v>
      </c>
      <c r="B1666" s="6">
        <v>260110.0</v>
      </c>
      <c r="C1666" s="4"/>
      <c r="D1666" s="10" t="s">
        <v>3173</v>
      </c>
      <c r="E1666" s="8" t="str">
        <f>IFERROR(__xludf.DUMMYFUNCTION("IF(
  LEN(TRIM(D1666))=0,
  ""왼쪽에 영어 문장을 입력하세요"",
  GOOGLETRANSLATE(D1666,""en"",""ko"")
)"),"너 왜 그래?")</f>
        <v>너 왜 그래?</v>
      </c>
      <c r="F1666" s="10" t="s">
        <v>3174</v>
      </c>
    </row>
    <row r="1667" ht="20.25" customHeight="1">
      <c r="A1667" s="5">
        <v>1743.0</v>
      </c>
      <c r="B1667" s="6">
        <v>260110.0</v>
      </c>
      <c r="C1667" s="4"/>
      <c r="D1667" s="10" t="s">
        <v>3175</v>
      </c>
      <c r="E1667" s="8" t="str">
        <f>IFERROR(__xludf.DUMMYFUNCTION("IF(
  LEN(TRIM(D1667))=0,
  ""왼쪽에 영어 문장을 입력하세요"",
  GOOGLETRANSLATE(D1667,""en"",""ko"")
)"),"거리를 유지하세요")</f>
        <v>거리를 유지하세요</v>
      </c>
      <c r="F1667" s="10" t="s">
        <v>3176</v>
      </c>
    </row>
    <row r="1668" ht="20.25" customHeight="1">
      <c r="A1668" s="5">
        <v>1744.0</v>
      </c>
      <c r="B1668" s="6">
        <v>260110.0</v>
      </c>
      <c r="C1668" s="4"/>
      <c r="D1668" s="10" t="s">
        <v>3177</v>
      </c>
      <c r="E1668" s="8" t="str">
        <f>IFERROR(__xludf.DUMMYFUNCTION("IF(
  LEN(TRIM(D1668))=0,
  ""왼쪽에 영어 문장을 입력하세요"",
  GOOGLETRANSLATE(D1668,""en"",""ko"")
)"),"나는 누명을 쓰고 있다")</f>
        <v>나는 누명을 쓰고 있다</v>
      </c>
      <c r="F1668" s="10" t="s">
        <v>3178</v>
      </c>
    </row>
    <row r="1669" ht="20.25" customHeight="1">
      <c r="A1669" s="5">
        <v>1745.0</v>
      </c>
      <c r="B1669" s="6">
        <v>260110.0</v>
      </c>
      <c r="C1669" s="4"/>
      <c r="D1669" s="10" t="s">
        <v>3179</v>
      </c>
      <c r="E1669" s="8" t="str">
        <f>IFERROR(__xludf.DUMMYFUNCTION("IF(
  LEN(TRIM(D1669))=0,
  ""왼쪽에 영어 문장을 입력하세요"",
  GOOGLETRANSLATE(D1669,""en"",""ko"")
)"),"처리 완료되었습니다.")</f>
        <v>처리 완료되었습니다.</v>
      </c>
      <c r="F1669" s="10" t="s">
        <v>3180</v>
      </c>
    </row>
    <row r="1670" ht="20.25" customHeight="1">
      <c r="A1670" s="5">
        <v>1746.0</v>
      </c>
      <c r="B1670" s="6">
        <v>260110.0</v>
      </c>
      <c r="C1670" s="4"/>
      <c r="D1670" s="10" t="s">
        <v>3181</v>
      </c>
      <c r="E1670" s="8" t="str">
        <f>IFERROR(__xludf.DUMMYFUNCTION("IF(
  LEN(TRIM(D1670))=0,
  ""왼쪽에 영어 문장을 입력하세요"",
  GOOGLETRANSLATE(D1670,""en"",""ko"")
)"),"이제 그만 말했어요")</f>
        <v>이제 그만 말했어요</v>
      </c>
      <c r="F1670" s="10" t="s">
        <v>3182</v>
      </c>
    </row>
    <row r="1671" ht="20.25" customHeight="1">
      <c r="A1671" s="5">
        <v>1747.0</v>
      </c>
      <c r="B1671" s="6">
        <v>260110.0</v>
      </c>
      <c r="C1671" s="4"/>
      <c r="D1671" s="10" t="s">
        <v>3183</v>
      </c>
      <c r="E1671" s="8" t="str">
        <f>IFERROR(__xludf.DUMMYFUNCTION("IF(
  LEN(TRIM(D1671))=0,
  ""왼쪽에 영어 문장을 입력하세요"",
  GOOGLETRANSLATE(D1671,""en"",""ko"")
)"),"겉으로 보이는 것과는 다릅니다")</f>
        <v>겉으로 보이는 것과는 다릅니다</v>
      </c>
      <c r="F1671" s="10" t="s">
        <v>3184</v>
      </c>
    </row>
    <row r="1672" ht="20.25" customHeight="1">
      <c r="A1672" s="5">
        <v>1748.0</v>
      </c>
      <c r="B1672" s="6">
        <v>260110.0</v>
      </c>
      <c r="C1672" s="4"/>
      <c r="D1672" s="10" t="s">
        <v>3185</v>
      </c>
      <c r="E1672" s="8" t="str">
        <f>IFERROR(__xludf.DUMMYFUNCTION("IF(
  LEN(TRIM(D1672))=0,
  ""왼쪽에 영어 문장을 입력하세요"",
  GOOGLETRANSLATE(D1672,""en"",""ko"")
)"),"당신은 너무 지나쳤어요")</f>
        <v>당신은 너무 지나쳤어요</v>
      </c>
      <c r="F1672" s="10" t="s">
        <v>3186</v>
      </c>
    </row>
    <row r="1673" ht="20.25" customHeight="1">
      <c r="A1673" s="5">
        <v>1749.0</v>
      </c>
      <c r="B1673" s="6">
        <v>260110.0</v>
      </c>
      <c r="C1673" s="4"/>
      <c r="D1673" s="10" t="s">
        <v>3187</v>
      </c>
      <c r="E1673" s="8" t="str">
        <f>IFERROR(__xludf.DUMMYFUNCTION("IF(
  LEN(TRIM(D1673))=0,
  ""왼쪽에 영어 문장을 입력하세요"",
  GOOGLETRANSLATE(D1673,""en"",""ko"")
)"),"그렇게 명백한가요?")</f>
        <v>그렇게 명백한가요?</v>
      </c>
      <c r="F1673" s="10" t="s">
        <v>3188</v>
      </c>
    </row>
    <row r="1674" ht="20.25" customHeight="1">
      <c r="A1674" s="5">
        <v>1750.0</v>
      </c>
      <c r="B1674" s="6">
        <v>260110.0</v>
      </c>
      <c r="C1674" s="4"/>
      <c r="D1674" s="10" t="s">
        <v>3189</v>
      </c>
      <c r="E1674" s="8" t="str">
        <f>IFERROR(__xludf.DUMMYFUNCTION("IF(
  LEN(TRIM(D1674))=0,
  ""왼쪽에 영어 문장을 입력하세요"",
  GOOGLETRANSLATE(D1674,""en"",""ko"")
)"),"그렇게 눈에 띄는가요?")</f>
        <v>그렇게 눈에 띄는가요?</v>
      </c>
      <c r="F1674" s="10" t="s">
        <v>3190</v>
      </c>
    </row>
    <row r="1675" ht="20.25" customHeight="1">
      <c r="A1675" s="5">
        <v>1751.0</v>
      </c>
      <c r="B1675" s="6">
        <v>260110.0</v>
      </c>
      <c r="C1675" s="4"/>
      <c r="D1675" s="10" t="s">
        <v>3191</v>
      </c>
      <c r="E1675" s="8" t="str">
        <f>IFERROR(__xludf.DUMMYFUNCTION("IF(
  LEN(TRIM(D1675))=0,
  ""왼쪽에 영어 문장을 입력하세요"",
  GOOGLETRANSLATE(D1675,""en"",""ko"")
)"),"제발, 자비를 베풀어 주세요.")</f>
        <v>제발, 자비를 베풀어 주세요.</v>
      </c>
      <c r="F1675" s="10" t="s">
        <v>3192</v>
      </c>
    </row>
    <row r="1676" ht="20.25" customHeight="1">
      <c r="A1676" s="5">
        <v>1752.0</v>
      </c>
      <c r="B1676" s="6">
        <v>260110.0</v>
      </c>
      <c r="C1676" s="4"/>
      <c r="D1676" s="10" t="s">
        <v>3193</v>
      </c>
      <c r="E1676" s="8" t="str">
        <f>IFERROR(__xludf.DUMMYFUNCTION("IF(
  LEN(TRIM(D1676))=0,
  ""왼쪽에 영어 문장을 입력하세요"",
  GOOGLETRANSLATE(D1676,""en"",""ko"")
)"),"이렇게 하세요")</f>
        <v>이렇게 하세요</v>
      </c>
      <c r="F1676" s="10" t="s">
        <v>3194</v>
      </c>
    </row>
    <row r="1677" ht="20.25" customHeight="1">
      <c r="A1677" s="5">
        <v>1753.0</v>
      </c>
      <c r="B1677" s="6">
        <v>260110.0</v>
      </c>
      <c r="C1677" s="4"/>
      <c r="D1677" s="10" t="s">
        <v>3195</v>
      </c>
      <c r="E1677" s="8" t="str">
        <f>IFERROR(__xludf.DUMMYFUNCTION("IF(
  LEN(TRIM(D1677))=0,
  ""왼쪽에 영어 문장을 입력하세요"",
  GOOGLETRANSLATE(D1677,""en"",""ko"")
)"),"어떻게 거절할 수 있겠어요?")</f>
        <v>어떻게 거절할 수 있겠어요?</v>
      </c>
      <c r="F1677" s="10" t="s">
        <v>3196</v>
      </c>
    </row>
    <row r="1678" ht="20.25" customHeight="1">
      <c r="A1678" s="5">
        <v>1754.0</v>
      </c>
      <c r="B1678" s="6">
        <v>260110.0</v>
      </c>
      <c r="C1678" s="4"/>
      <c r="D1678" s="10" t="s">
        <v>3197</v>
      </c>
      <c r="E1678" s="8" t="str">
        <f>IFERROR(__xludf.DUMMYFUNCTION("IF(
  LEN(TRIM(D1678))=0,
  ""왼쪽에 영어 문장을 입력하세요"",
  GOOGLETRANSLATE(D1678,""en"",""ko"")
)"),"별거 아니에요")</f>
        <v>별거 아니에요</v>
      </c>
      <c r="F1678" s="10" t="s">
        <v>3198</v>
      </c>
    </row>
    <row r="1679" ht="20.25" customHeight="1">
      <c r="A1679" s="5">
        <v>1755.0</v>
      </c>
      <c r="B1679" s="6">
        <v>260110.0</v>
      </c>
      <c r="C1679" s="4"/>
      <c r="D1679" s="10" t="s">
        <v>3199</v>
      </c>
      <c r="E1679" s="8" t="str">
        <f>IFERROR(__xludf.DUMMYFUNCTION("IF(
  LEN(TRIM(D1679))=0,
  ""왼쪽에 영어 문장을 입력하세요"",
  GOOGLETRANSLATE(D1679,""en"",""ko"")
)"),"나에게 돌아오는 이득은 무엇일까?")</f>
        <v>나에게 돌아오는 이득은 무엇일까?</v>
      </c>
      <c r="F1679" s="10" t="s">
        <v>3200</v>
      </c>
    </row>
    <row r="1680" ht="20.25" customHeight="1">
      <c r="A1680" s="5">
        <v>1756.0</v>
      </c>
      <c r="B1680" s="6">
        <v>260110.0</v>
      </c>
      <c r="C1680" s="4"/>
      <c r="D1680" s="10" t="s">
        <v>3201</v>
      </c>
      <c r="E1680" s="8" t="str">
        <f>IFERROR(__xludf.DUMMYFUNCTION("IF(
  LEN(TRIM(D1680))=0,
  ""왼쪽에 영어 문장을 입력하세요"",
  GOOGLETRANSLATE(D1680,""en"",""ko"")
)"),"서두르면 일을 그르친다")</f>
        <v>서두르면 일을 그르친다</v>
      </c>
      <c r="F1680" s="9"/>
    </row>
    <row r="1681" ht="20.25" customHeight="1">
      <c r="A1681" s="5">
        <v>1757.0</v>
      </c>
      <c r="B1681" s="6">
        <v>260110.0</v>
      </c>
      <c r="C1681" s="4"/>
      <c r="D1681" s="10" t="s">
        <v>3202</v>
      </c>
      <c r="E1681" s="8" t="str">
        <f>IFERROR(__xludf.DUMMYFUNCTION("IF(
  LEN(TRIM(D1681))=0,
  ""왼쪽에 영어 문장을 입력하세요"",
  GOOGLETRANSLATE(D1681,""en"",""ko"")
)"),"지금 나를 놀리는 거야?")</f>
        <v>지금 나를 놀리는 거야?</v>
      </c>
      <c r="F1681" s="10" t="s">
        <v>3203</v>
      </c>
    </row>
    <row r="1682" ht="20.25" customHeight="1">
      <c r="A1682" s="5">
        <v>1758.0</v>
      </c>
      <c r="B1682" s="6">
        <v>260110.0</v>
      </c>
      <c r="C1682" s="4"/>
      <c r="D1682" s="10" t="s">
        <v>3204</v>
      </c>
      <c r="E1682" s="8" t="str">
        <f>IFERROR(__xludf.DUMMYFUNCTION("IF(
  LEN(TRIM(D1682))=0,
  ""왼쪽에 영어 문장을 입력하세요"",
  GOOGLETRANSLATE(D1682,""en"",""ko"")
)"),"네가 그러지 않았으면 좋았을 텐데")</f>
        <v>네가 그러지 않았으면 좋았을 텐데</v>
      </c>
      <c r="F1682" s="10" t="s">
        <v>3205</v>
      </c>
    </row>
    <row r="1683" ht="20.25" customHeight="1">
      <c r="A1683" s="5">
        <v>1759.0</v>
      </c>
      <c r="B1683" s="6">
        <v>260110.0</v>
      </c>
      <c r="C1683" s="4"/>
      <c r="D1683" s="10" t="s">
        <v>3206</v>
      </c>
      <c r="E1683" s="8" t="str">
        <f>IFERROR(__xludf.DUMMYFUNCTION("IF(
  LEN(TRIM(D1683))=0,
  ""왼쪽에 영어 문장을 입력하세요"",
  GOOGLETRANSLATE(D1683,""en"",""ko"")
)"),"정신 차려")</f>
        <v>정신 차려</v>
      </c>
      <c r="F1683" s="9"/>
    </row>
    <row r="1684" ht="20.25" customHeight="1">
      <c r="A1684" s="5">
        <v>1760.0</v>
      </c>
      <c r="B1684" s="6">
        <v>260110.0</v>
      </c>
      <c r="C1684" s="4"/>
      <c r="D1684" s="10" t="s">
        <v>3207</v>
      </c>
      <c r="E1684" s="8" t="str">
        <f>IFERROR(__xludf.DUMMYFUNCTION("IF(
  LEN(TRIM(D1684))=0,
  ""왼쪽에 영어 문장을 입력하세요"",
  GOOGLETRANSLATE(D1684,""en"",""ko"")
)"),"이야기의 끝")</f>
        <v>이야기의 끝</v>
      </c>
      <c r="F1684" s="10" t="s">
        <v>3208</v>
      </c>
    </row>
    <row r="1685" ht="20.25" customHeight="1">
      <c r="A1685" s="5">
        <v>1761.0</v>
      </c>
      <c r="B1685" s="6">
        <v>260110.0</v>
      </c>
      <c r="C1685" s="4"/>
      <c r="D1685" s="10" t="s">
        <v>3209</v>
      </c>
      <c r="E1685" s="8" t="str">
        <f>IFERROR(__xludf.DUMMYFUNCTION("IF(
  LEN(TRIM(D1685))=0,
  ""왼쪽에 영어 문장을 입력하세요"",
  GOOGLETRANSLATE(D1685,""en"",""ko"")
)"),"그럴 만도 하죠")</f>
        <v>그럴 만도 하죠</v>
      </c>
      <c r="F1685" s="10" t="s">
        <v>3210</v>
      </c>
    </row>
    <row r="1686" ht="20.25" customHeight="1">
      <c r="A1686" s="5">
        <v>1762.0</v>
      </c>
      <c r="B1686" s="6">
        <v>260110.0</v>
      </c>
      <c r="C1686" s="4"/>
      <c r="D1686" s="10" t="s">
        <v>3211</v>
      </c>
      <c r="E1686" s="8" t="str">
        <f>IFERROR(__xludf.DUMMYFUNCTION("IF(
  LEN(TRIM(D1686))=0,
  ""왼쪽에 영어 문장을 입력하세요"",
  GOOGLETRANSLATE(D1686,""en"",""ko"")
)"),"너 정말 못됐어")</f>
        <v>너 정말 못됐어</v>
      </c>
      <c r="F1686" s="9"/>
    </row>
    <row r="1687" ht="20.25" customHeight="1">
      <c r="A1687" s="5">
        <v>1763.0</v>
      </c>
      <c r="B1687" s="6">
        <v>260110.0</v>
      </c>
      <c r="C1687" s="4"/>
      <c r="D1687" s="10" t="s">
        <v>3212</v>
      </c>
      <c r="E1687" s="8" t="str">
        <f>IFERROR(__xludf.DUMMYFUNCTION("IF(
  LEN(TRIM(D1687))=0,
  ""왼쪽에 영어 문장을 입력하세요"",
  GOOGLETRANSLATE(D1687,""en"",""ko"")
)"),"자르지 마세요")</f>
        <v>자르지 마세요</v>
      </c>
      <c r="F1687" s="10" t="s">
        <v>3213</v>
      </c>
    </row>
    <row r="1688" ht="20.25" customHeight="1">
      <c r="A1688" s="5">
        <v>1764.0</v>
      </c>
      <c r="B1688" s="6">
        <v>260110.0</v>
      </c>
      <c r="C1688" s="4"/>
      <c r="D1688" s="10" t="s">
        <v>3214</v>
      </c>
      <c r="E1688" s="8" t="str">
        <f>IFERROR(__xludf.DUMMYFUNCTION("IF(
  LEN(TRIM(D1688))=0,
  ""왼쪽에 영어 문장을 입력하세요"",
  GOOGLETRANSLATE(D1688,""en"",""ko"")
)"),"전적으로 동감합니다.")</f>
        <v>전적으로 동감합니다.</v>
      </c>
      <c r="F1688" s="10" t="s">
        <v>3215</v>
      </c>
    </row>
    <row r="1689" ht="20.25" customHeight="1">
      <c r="A1689" s="5">
        <v>1765.0</v>
      </c>
      <c r="B1689" s="6">
        <v>260110.0</v>
      </c>
      <c r="C1689" s="4"/>
      <c r="D1689" s="10" t="s">
        <v>3216</v>
      </c>
      <c r="E1689" s="8" t="str">
        <f>IFERROR(__xludf.DUMMYFUNCTION("IF(
  LEN(TRIM(D1689))=0,
  ""왼쪽에 영어 문장을 입력하세요"",
  GOOGLETRANSLATE(D1689,""en"",""ko"")
)"),"그건 본론과 상관없는 얘기예요.")</f>
        <v>그건 본론과 상관없는 얘기예요.</v>
      </c>
      <c r="F1689" s="10" t="s">
        <v>3217</v>
      </c>
    </row>
    <row r="1690" ht="20.25" customHeight="1">
      <c r="A1690" s="5">
        <v>1766.0</v>
      </c>
      <c r="B1690" s="6">
        <v>260110.0</v>
      </c>
      <c r="C1690" s="4"/>
      <c r="D1690" s="10" t="s">
        <v>3218</v>
      </c>
      <c r="E1690" s="8" t="str">
        <f>IFERROR(__xludf.DUMMYFUNCTION("IF(
  LEN(TRIM(D1690))=0,
  ""왼쪽에 영어 문장을 입력하세요"",
  GOOGLETRANSLATE(D1690,""en"",""ko"")
)"),"제 생각이 틀렸네요.")</f>
        <v>제 생각이 틀렸네요.</v>
      </c>
      <c r="F1690" s="10" t="s">
        <v>3219</v>
      </c>
    </row>
    <row r="1691" ht="20.25" customHeight="1">
      <c r="A1691" s="5">
        <v>1767.0</v>
      </c>
      <c r="B1691" s="6">
        <v>260110.0</v>
      </c>
      <c r="C1691" s="4"/>
      <c r="D1691" s="10" t="s">
        <v>3220</v>
      </c>
      <c r="E1691" s="8" t="str">
        <f>IFERROR(__xludf.DUMMYFUNCTION("IF(
  LEN(TRIM(D1691))=0,
  ""왼쪽에 영어 문장을 입력하세요"",
  GOOGLETRANSLATE(D1691,""en"",""ko"")
)"),"너는 온통 허풍쟁이야")</f>
        <v>너는 온통 허풍쟁이야</v>
      </c>
      <c r="F1691" s="10" t="s">
        <v>3221</v>
      </c>
    </row>
    <row r="1692" ht="20.25" customHeight="1">
      <c r="A1692" s="5">
        <v>1768.0</v>
      </c>
      <c r="B1692" s="6">
        <v>260110.0</v>
      </c>
      <c r="C1692" s="4"/>
      <c r="D1692" s="10" t="s">
        <v>3222</v>
      </c>
      <c r="E1692" s="8" t="str">
        <f>IFERROR(__xludf.DUMMYFUNCTION("IF(
  LEN(TRIM(D1692))=0,
  ""왼쪽에 영어 문장을 입력하세요"",
  GOOGLETRANSLATE(D1692,""en"",""ko"")
)"),"네가 가진 걸 보여줘")</f>
        <v>네가 가진 걸 보여줘</v>
      </c>
      <c r="F1692" s="9"/>
    </row>
    <row r="1693" ht="20.25" customHeight="1">
      <c r="A1693" s="5">
        <v>1769.0</v>
      </c>
      <c r="B1693" s="6">
        <v>260110.0</v>
      </c>
      <c r="C1693" s="4"/>
      <c r="D1693" s="10" t="s">
        <v>3223</v>
      </c>
      <c r="E1693" s="8" t="str">
        <f>IFERROR(__xludf.DUMMYFUNCTION("IF(
  LEN(TRIM(D1693))=0,
  ""왼쪽에 영어 문장을 입력하세요"",
  GOOGLETRANSLATE(D1693,""en"",""ko"")
)"),"만료되었습니다")</f>
        <v>만료되었습니다</v>
      </c>
      <c r="F1693" s="10" t="s">
        <v>3224</v>
      </c>
    </row>
    <row r="1694" ht="20.25" customHeight="1">
      <c r="A1694" s="5">
        <v>1770.0</v>
      </c>
      <c r="B1694" s="6">
        <v>260110.0</v>
      </c>
      <c r="C1694" s="4"/>
      <c r="D1694" s="10" t="s">
        <v>3225</v>
      </c>
      <c r="E1694" s="8" t="str">
        <f>IFERROR(__xludf.DUMMYFUNCTION("IF(
  LEN(TRIM(D1694))=0,
  ""왼쪽에 영어 문장을 입력하세요"",
  GOOGLETRANSLATE(D1694,""en"",""ko"")
)"),"경사가 좀 가파르네요")</f>
        <v>경사가 좀 가파르네요</v>
      </c>
      <c r="F1694" s="10" t="s">
        <v>3226</v>
      </c>
    </row>
    <row r="1695" ht="20.25" customHeight="1">
      <c r="A1695" s="5">
        <v>1771.0</v>
      </c>
      <c r="B1695" s="6">
        <v>260110.0</v>
      </c>
      <c r="C1695" s="4"/>
      <c r="D1695" s="10" t="s">
        <v>3227</v>
      </c>
      <c r="E1695" s="8" t="str">
        <f>IFERROR(__xludf.DUMMYFUNCTION("IF(
  LEN(TRIM(D1695))=0,
  ""왼쪽에 영어 문장을 입력하세요"",
  GOOGLETRANSLATE(D1695,""en"",""ko"")
)"),"솔직하게 말해줘")</f>
        <v>솔직하게 말해줘</v>
      </c>
      <c r="F1695" s="9"/>
    </row>
    <row r="1696" ht="20.25" customHeight="1">
      <c r="A1696" s="5">
        <v>1772.0</v>
      </c>
      <c r="B1696" s="6">
        <v>260110.0</v>
      </c>
      <c r="C1696" s="4"/>
      <c r="D1696" s="10" t="s">
        <v>3228</v>
      </c>
      <c r="E1696" s="8" t="str">
        <f>IFERROR(__xludf.DUMMYFUNCTION("IF(
  LEN(TRIM(D1696))=0,
  ""왼쪽에 영어 문장을 입력하세요"",
  GOOGLETRANSLATE(D1696,""en"",""ko"")
)"),"언제든지 도와드리겠습니다.")</f>
        <v>언제든지 도와드리겠습니다.</v>
      </c>
      <c r="F1696" s="9"/>
    </row>
    <row r="1697" ht="20.25" customHeight="1">
      <c r="A1697" s="5">
        <v>1773.0</v>
      </c>
      <c r="B1697" s="6">
        <v>260110.0</v>
      </c>
      <c r="C1697" s="4"/>
      <c r="D1697" s="10" t="s">
        <v>3229</v>
      </c>
      <c r="E1697" s="8" t="str">
        <f>IFERROR(__xludf.DUMMYFUNCTION("IF(
  LEN(TRIM(D1697))=0,
  ""왼쪽에 영어 문장을 입력하세요"",
  GOOGLETRANSLATE(D1697,""en"",""ko"")
)"),"할 말이 없네요.")</f>
        <v>할 말이 없네요.</v>
      </c>
      <c r="F1697" s="10" t="s">
        <v>3230</v>
      </c>
    </row>
    <row r="1698" ht="20.25" customHeight="1">
      <c r="A1698" s="5">
        <v>1774.0</v>
      </c>
      <c r="B1698" s="6">
        <v>260110.0</v>
      </c>
      <c r="C1698" s="4"/>
      <c r="D1698" s="10" t="s">
        <v>3231</v>
      </c>
      <c r="E1698" s="8" t="str">
        <f>IFERROR(__xludf.DUMMYFUNCTION("IF(
  LEN(TRIM(D1698))=0,
  ""왼쪽에 영어 문장을 입력하세요"",
  GOOGLETRANSLATE(D1698,""en"",""ko"")
)"),"당신이 저를 부르셨군요.")</f>
        <v>당신이 저를 부르셨군요.</v>
      </c>
      <c r="F1698" s="10" t="s">
        <v>3232</v>
      </c>
    </row>
    <row r="1699" ht="20.25" customHeight="1">
      <c r="A1699" s="5">
        <v>1775.0</v>
      </c>
      <c r="B1699" s="6">
        <v>260110.0</v>
      </c>
      <c r="C1699" s="4"/>
      <c r="D1699" s="10" t="s">
        <v>3233</v>
      </c>
      <c r="E1699" s="8" t="str">
        <f>IFERROR(__xludf.DUMMYFUNCTION("IF(
  LEN(TRIM(D1699))=0,
  ""왼쪽에 영어 문장을 입력하세요"",
  GOOGLETRANSLATE(D1699,""en"",""ko"")
)"),"난 전혀 상관없어")</f>
        <v>난 전혀 상관없어</v>
      </c>
      <c r="F1699" s="10" t="s">
        <v>3234</v>
      </c>
    </row>
    <row r="1700" ht="20.25" customHeight="1">
      <c r="A1700" s="5">
        <v>1776.0</v>
      </c>
      <c r="B1700" s="6">
        <v>260110.0</v>
      </c>
      <c r="C1700" s="4"/>
      <c r="D1700" s="10" t="s">
        <v>3235</v>
      </c>
      <c r="E1700" s="8" t="str">
        <f>IFERROR(__xludf.DUMMYFUNCTION("IF(
  LEN(TRIM(D1700))=0,
  ""왼쪽에 영어 문장을 입력하세요"",
  GOOGLETRANSLATE(D1700,""en"",""ko"")
)"),"정확히 짚어낼 수는 없네요.")</f>
        <v>정확히 짚어낼 수는 없네요.</v>
      </c>
      <c r="F1700" s="10" t="s">
        <v>3236</v>
      </c>
    </row>
    <row r="1701" ht="20.25" customHeight="1">
      <c r="A1701" s="5">
        <v>1777.0</v>
      </c>
      <c r="B1701" s="6">
        <v>260110.0</v>
      </c>
      <c r="C1701" s="4"/>
      <c r="D1701" s="10" t="s">
        <v>3237</v>
      </c>
      <c r="E1701" s="8" t="str">
        <f>IFERROR(__xludf.DUMMYFUNCTION("IF(
  LEN(TRIM(D1701))=0,
  ""왼쪽에 영어 문장을 입력하세요"",
  GOOGLETRANSLATE(D1701,""en"",""ko"")
)"),"나를 외면하지 마")</f>
        <v>나를 외면하지 마</v>
      </c>
      <c r="F1701" s="10" t="s">
        <v>3238</v>
      </c>
    </row>
    <row r="1702" ht="20.25" customHeight="1">
      <c r="A1702" s="5">
        <v>1778.0</v>
      </c>
      <c r="B1702" s="6">
        <v>260110.0</v>
      </c>
      <c r="C1702" s="4"/>
      <c r="D1702" s="10" t="s">
        <v>3239</v>
      </c>
      <c r="E1702" s="8" t="str">
        <f>IFERROR(__xludf.DUMMYFUNCTION("IF(
  LEN(TRIM(D1702))=0,
  ""왼쪽에 영어 문장을 입력하세요"",
  GOOGLETRANSLATE(D1702,""en"",""ko"")
)"),"정말 깜짝 놀랄 거예요")</f>
        <v>정말 깜짝 놀랄 거예요</v>
      </c>
      <c r="F1702" s="9"/>
    </row>
    <row r="1703" ht="20.25" customHeight="1">
      <c r="A1703" s="5">
        <v>1779.0</v>
      </c>
      <c r="B1703" s="6">
        <v>260110.0</v>
      </c>
      <c r="C1703" s="4"/>
      <c r="D1703" s="10" t="s">
        <v>3240</v>
      </c>
      <c r="E1703" s="8" t="str">
        <f>IFERROR(__xludf.DUMMYFUNCTION("IF(
  LEN(TRIM(D1703))=0,
  ""왼쪽에 영어 문장을 입력하세요"",
  GOOGLETRANSLATE(D1703,""en"",""ko"")
)"),"그곳에 가지 마세요")</f>
        <v>그곳에 가지 마세요</v>
      </c>
      <c r="F1703" s="10" t="s">
        <v>3241</v>
      </c>
    </row>
    <row r="1704" ht="20.25" customHeight="1">
      <c r="A1704" s="5">
        <v>1780.0</v>
      </c>
      <c r="B1704" s="6">
        <v>260110.0</v>
      </c>
      <c r="C1704" s="4"/>
      <c r="D1704" s="10" t="s">
        <v>3242</v>
      </c>
      <c r="E1704" s="8" t="str">
        <f>IFERROR(__xludf.DUMMYFUNCTION("IF(
  LEN(TRIM(D1704))=0,
  ""왼쪽에 영어 문장을 입력하세요"",
  GOOGLETRANSLATE(D1704,""en"",""ko"")
)"),"전혀 기억나지 않네요.")</f>
        <v>전혀 기억나지 않네요.</v>
      </c>
      <c r="F1704" s="10" t="s">
        <v>3243</v>
      </c>
    </row>
    <row r="1705" ht="20.25" customHeight="1">
      <c r="A1705" s="5">
        <v>1781.0</v>
      </c>
      <c r="B1705" s="6">
        <v>260110.0</v>
      </c>
      <c r="C1705" s="4"/>
      <c r="D1705" s="10" t="s">
        <v>3244</v>
      </c>
      <c r="E1705" s="8" t="str">
        <f>IFERROR(__xludf.DUMMYFUNCTION("IF(
  LEN(TRIM(D1705))=0,
  ""왼쪽에 영어 문장을 입력하세요"",
  GOOGLETRANSLATE(D1705,""en"",""ko"")
)"),"춤을 춰요")</f>
        <v>춤을 춰요</v>
      </c>
      <c r="F1705" s="10" t="s">
        <v>3245</v>
      </c>
    </row>
    <row r="1706" ht="20.25" customHeight="1">
      <c r="A1706" s="5">
        <v>1782.0</v>
      </c>
      <c r="B1706" s="6">
        <v>260110.0</v>
      </c>
      <c r="C1706" s="4"/>
      <c r="D1706" s="10" t="s">
        <v>3246</v>
      </c>
      <c r="E1706" s="8" t="str">
        <f>IFERROR(__xludf.DUMMYFUNCTION("IF(
  LEN(TRIM(D1706))=0,
  ""왼쪽에 영어 문장을 입력하세요"",
  GOOGLETRANSLATE(D1706,""en"",""ko"")
)"),"어쩔 수 없어")</f>
        <v>어쩔 수 없어</v>
      </c>
      <c r="F1706" s="10" t="s">
        <v>3247</v>
      </c>
    </row>
    <row r="1707" ht="20.25" customHeight="1">
      <c r="A1707" s="5">
        <v>1783.0</v>
      </c>
      <c r="B1707" s="6">
        <v>260110.0</v>
      </c>
      <c r="C1707" s="4"/>
      <c r="D1707" s="10" t="s">
        <v>3248</v>
      </c>
      <c r="E1707" s="8" t="str">
        <f>IFERROR(__xludf.DUMMYFUNCTION("IF(
  LEN(TRIM(D1707))=0,
  ""왼쪽에 영어 문장을 입력하세요"",
  GOOGLETRANSLATE(D1707,""en"",""ko"")
)"),"당연한 이치다")</f>
        <v>당연한 이치다</v>
      </c>
      <c r="F1707" s="9"/>
    </row>
    <row r="1708" ht="20.25" customHeight="1">
      <c r="A1708" s="5">
        <v>1784.0</v>
      </c>
      <c r="B1708" s="6">
        <v>260110.0</v>
      </c>
      <c r="C1708" s="4"/>
      <c r="D1708" s="10" t="s">
        <v>3249</v>
      </c>
      <c r="E1708" s="8" t="str">
        <f>IFERROR(__xludf.DUMMYFUNCTION("IF(
  LEN(TRIM(D1708))=0,
  ""왼쪽에 영어 문장을 입력하세요"",
  GOOGLETRANSLATE(D1708,""en"",""ko"")
)"),"절대 안 돼")</f>
        <v>절대 안 돼</v>
      </c>
      <c r="F1708" s="10" t="s">
        <v>3250</v>
      </c>
    </row>
    <row r="1709" ht="20.25" customHeight="1">
      <c r="A1709" s="5">
        <v>1785.0</v>
      </c>
      <c r="B1709" s="6">
        <v>260110.0</v>
      </c>
      <c r="C1709" s="4"/>
      <c r="D1709" s="10" t="s">
        <v>3251</v>
      </c>
      <c r="E1709" s="8" t="str">
        <f>IFERROR(__xludf.DUMMYFUNCTION("IF(
  LEN(TRIM(D1709))=0,
  ""왼쪽에 영어 문장을 입력하세요"",
  GOOGLETRANSLATE(D1709,""en"",""ko"")
)"),"콩깍지 속의 두 완두콩")</f>
        <v>콩깍지 속의 두 완두콩</v>
      </c>
      <c r="F1709" s="10" t="s">
        <v>3252</v>
      </c>
    </row>
    <row r="1710" ht="20.25" customHeight="1">
      <c r="A1710" s="5">
        <v>1786.0</v>
      </c>
      <c r="B1710" s="6">
        <v>260110.0</v>
      </c>
      <c r="C1710" s="4"/>
      <c r="D1710" s="10" t="s">
        <v>3253</v>
      </c>
      <c r="E1710" s="8" t="str">
        <f>IFERROR(__xludf.DUMMYFUNCTION("IF(
  LEN(TRIM(D1710))=0,
  ""왼쪽에 영어 문장을 입력하세요"",
  GOOGLETRANSLATE(D1710,""en"",""ko"")
)"),"저는 스트레스를 많이 받고 있어요.")</f>
        <v>저는 스트레스를 많이 받고 있어요.</v>
      </c>
      <c r="F1710" s="10" t="s">
        <v>3254</v>
      </c>
    </row>
    <row r="1711" ht="20.25" customHeight="1">
      <c r="A1711" s="5">
        <v>1787.0</v>
      </c>
      <c r="B1711" s="6">
        <v>260110.0</v>
      </c>
      <c r="C1711" s="4"/>
      <c r="D1711" s="10" t="s">
        <v>3255</v>
      </c>
      <c r="E1711" s="8" t="str">
        <f>IFERROR(__xludf.DUMMYFUNCTION("IF(
  LEN(TRIM(D1711))=0,
  ""왼쪽에 영어 문장을 입력하세요"",
  GOOGLETRANSLATE(D1711,""en"",""ko"")
)"),"어떻게 됐어?")</f>
        <v>어떻게 됐어?</v>
      </c>
      <c r="F1711" s="9"/>
    </row>
    <row r="1712" ht="20.25" customHeight="1">
      <c r="A1712" s="5">
        <v>1788.0</v>
      </c>
      <c r="B1712" s="6">
        <v>260110.0</v>
      </c>
      <c r="C1712" s="4"/>
      <c r="D1712" s="10" t="s">
        <v>3256</v>
      </c>
      <c r="E1712" s="8" t="str">
        <f>IFERROR(__xludf.DUMMYFUNCTION("IF(
  LEN(TRIM(D1712))=0,
  ""왼쪽에 영어 문장을 입력하세요"",
  GOOGLETRANSLATE(D1712,""en"",""ko"")
)"),"간단히 식사하러 가자")</f>
        <v>간단히 식사하러 가자</v>
      </c>
      <c r="F1712" s="10" t="s">
        <v>3257</v>
      </c>
    </row>
    <row r="1713" ht="20.25" customHeight="1">
      <c r="A1713" s="5">
        <v>1789.0</v>
      </c>
      <c r="B1713" s="6">
        <v>260110.0</v>
      </c>
      <c r="C1713" s="4"/>
      <c r="D1713" s="10" t="s">
        <v>3258</v>
      </c>
      <c r="E1713" s="8" t="str">
        <f>IFERROR(__xludf.DUMMYFUNCTION("IF(
  LEN(TRIM(D1713))=0,
  ""왼쪽에 영어 문장을 입력하세요"",
  GOOGLETRANSLATE(D1713,""en"",""ko"")
)"),"당신이 행복하다면, 그것으로 충분합니다.")</f>
        <v>당신이 행복하다면, 그것으로 충분합니다.</v>
      </c>
      <c r="F1713" s="10" t="s">
        <v>3259</v>
      </c>
    </row>
    <row r="1714" ht="20.25" customHeight="1">
      <c r="A1714" s="5">
        <v>1790.0</v>
      </c>
      <c r="B1714" s="6">
        <v>260110.0</v>
      </c>
      <c r="C1714" s="4"/>
      <c r="D1714" s="10" t="s">
        <v>3260</v>
      </c>
      <c r="E1714" s="8" t="str">
        <f>IFERROR(__xludf.DUMMYFUNCTION("IF(
  LEN(TRIM(D1714))=0,
  ""왼쪽에 영어 문장을 입력하세요"",
  GOOGLETRANSLATE(D1714,""en"",""ko"")
)"),"전혀 기억나지 않으세요?")</f>
        <v>전혀 기억나지 않으세요?</v>
      </c>
      <c r="F1714" s="10" t="s">
        <v>3261</v>
      </c>
    </row>
    <row r="1715" ht="20.25" customHeight="1">
      <c r="A1715" s="5">
        <v>1791.0</v>
      </c>
      <c r="B1715" s="6">
        <v>260110.0</v>
      </c>
      <c r="C1715" s="4"/>
      <c r="D1715" s="10" t="s">
        <v>3262</v>
      </c>
      <c r="E1715" s="8" t="str">
        <f>IFERROR(__xludf.DUMMYFUNCTION("IF(
  LEN(TRIM(D1715))=0,
  ""왼쪽에 영어 문장을 입력하세요"",
  GOOGLETRANSLATE(D1715,""en"",""ko"")
)"),"우리는 좋은 분위기를 느끼고 있어요")</f>
        <v>우리는 좋은 분위기를 느끼고 있어요</v>
      </c>
      <c r="F1715" s="10" t="s">
        <v>3263</v>
      </c>
    </row>
    <row r="1716" ht="20.25" customHeight="1">
      <c r="A1716" s="5">
        <v>1792.0</v>
      </c>
      <c r="B1716" s="6">
        <v>260110.0</v>
      </c>
      <c r="C1716" s="4"/>
      <c r="D1716" s="10" t="s">
        <v>3264</v>
      </c>
      <c r="E1716" s="8" t="str">
        <f>IFERROR(__xludf.DUMMYFUNCTION("IF(
  LEN(TRIM(D1716))=0,
  ""왼쪽에 영어 문장을 입력하세요"",
  GOOGLETRANSLATE(D1716,""en"",""ko"")
)"),"그렇긴 하지만")</f>
        <v>그렇긴 하지만</v>
      </c>
      <c r="F1716" s="9"/>
    </row>
    <row r="1717" ht="20.25" customHeight="1">
      <c r="A1717" s="5">
        <v>1793.0</v>
      </c>
      <c r="B1717" s="6">
        <v>260110.0</v>
      </c>
      <c r="C1717" s="4"/>
      <c r="D1717" s="10" t="s">
        <v>3265</v>
      </c>
      <c r="E1717" s="8" t="str">
        <f>IFERROR(__xludf.DUMMYFUNCTION("IF(
  LEN(TRIM(D1717))=0,
  ""왼쪽에 영어 문장을 입력하세요"",
  GOOGLETRANSLATE(D1717,""en"",""ko"")
)"),"내 말을 명심해라.")</f>
        <v>내 말을 명심해라.</v>
      </c>
      <c r="F1717" s="10" t="s">
        <v>3266</v>
      </c>
    </row>
    <row r="1718" ht="20.25" customHeight="1">
      <c r="A1718" s="5">
        <v>1794.0</v>
      </c>
      <c r="B1718" s="6">
        <v>260110.0</v>
      </c>
      <c r="C1718" s="4"/>
      <c r="D1718" s="10" t="s">
        <v>3267</v>
      </c>
      <c r="E1718" s="8" t="str">
        <f>IFERROR(__xludf.DUMMYFUNCTION("IF(
  LEN(TRIM(D1718))=0,
  ""왼쪽에 영어 문장을 입력하세요"",
  GOOGLETRANSLATE(D1718,""en"",""ko"")
)"),"업무 관련 이야기는 하지 마세요")</f>
        <v>업무 관련 이야기는 하지 마세요</v>
      </c>
      <c r="F1718" s="10" t="s">
        <v>3268</v>
      </c>
    </row>
    <row r="1719" ht="20.25" customHeight="1">
      <c r="A1719" s="5">
        <v>1795.0</v>
      </c>
      <c r="B1719" s="6">
        <v>260110.0</v>
      </c>
      <c r="C1719" s="4"/>
      <c r="D1719" s="10" t="s">
        <v>3269</v>
      </c>
      <c r="E1719" s="8" t="str">
        <f>IFERROR(__xludf.DUMMYFUNCTION("IF(
  LEN(TRIM(D1719))=0,
  ""왼쪽에 영어 문장을 입력하세요"",
  GOOGLETRANSLATE(D1719,""en"",""ko"")
)"),"순진한 척하지 마")</f>
        <v>순진한 척하지 마</v>
      </c>
      <c r="F1719" s="9"/>
    </row>
    <row r="1720" ht="20.25" customHeight="1">
      <c r="A1720" s="5">
        <v>1796.0</v>
      </c>
      <c r="B1720" s="6">
        <v>260110.0</v>
      </c>
      <c r="C1720" s="4"/>
      <c r="D1720" s="10" t="s">
        <v>3270</v>
      </c>
      <c r="E1720" s="8" t="str">
        <f>IFERROR(__xludf.DUMMYFUNCTION("IF(
  LEN(TRIM(D1720))=0,
  ""왼쪽에 영어 문장을 입력하세요"",
  GOOGLETRANSLATE(D1720,""en"",""ko"")
)"),"오래된 습관은 쉽게 바뀌지 않는다.")</f>
        <v>오래된 습관은 쉽게 바뀌지 않는다.</v>
      </c>
      <c r="F1720" s="10" t="s">
        <v>3271</v>
      </c>
    </row>
    <row r="1721" ht="20.25" customHeight="1">
      <c r="A1721" s="5">
        <v>1797.0</v>
      </c>
      <c r="B1721" s="6">
        <v>260110.0</v>
      </c>
      <c r="C1721" s="4"/>
      <c r="D1721" s="10" t="s">
        <v>3272</v>
      </c>
      <c r="E1721" s="8" t="str">
        <f>IFERROR(__xludf.DUMMYFUNCTION("IF(
  LEN(TRIM(D1721))=0,
  ""왼쪽에 영어 문장을 입력하세요"",
  GOOGLETRANSLATE(D1721,""en"",""ko"")
)"),"무엇이 당신을 힘들게 하고 있나요?")</f>
        <v>무엇이 당신을 힘들게 하고 있나요?</v>
      </c>
      <c r="F1721" s="10" t="s">
        <v>3273</v>
      </c>
    </row>
    <row r="1722" ht="20.25" customHeight="1">
      <c r="A1722" s="5">
        <v>1798.0</v>
      </c>
      <c r="B1722" s="6">
        <v>260110.0</v>
      </c>
      <c r="C1722" s="4"/>
      <c r="D1722" s="10" t="s">
        <v>3274</v>
      </c>
      <c r="E1722" s="8" t="str">
        <f>IFERROR(__xludf.DUMMYFUNCTION("IF(
  LEN(TRIM(D1722))=0,
  ""왼쪽에 영어 문장을 입력하세요"",
  GOOGLETRANSLATE(D1722,""en"",""ko"")
)"),"그건 내 취향이 아니야")</f>
        <v>그건 내 취향이 아니야</v>
      </c>
      <c r="F1722" s="9"/>
    </row>
    <row r="1723" ht="20.25" customHeight="1">
      <c r="A1723" s="5">
        <v>1799.0</v>
      </c>
      <c r="B1723" s="6">
        <v>260110.0</v>
      </c>
      <c r="C1723" s="4"/>
      <c r="D1723" s="10" t="s">
        <v>3275</v>
      </c>
      <c r="E1723" s="8" t="str">
        <f>IFERROR(__xludf.DUMMYFUNCTION("IF(
  LEN(TRIM(D1723))=0,
  ""왼쪽에 영어 문장을 입력하세요"",
  GOOGLETRANSLATE(D1723,""en"",""ko"")
)"),"아슬아슬했네요.")</f>
        <v>아슬아슬했네요.</v>
      </c>
      <c r="F1723" s="10" t="s">
        <v>3276</v>
      </c>
    </row>
    <row r="1724" ht="20.25" customHeight="1">
      <c r="A1724" s="5">
        <v>1800.0</v>
      </c>
      <c r="B1724" s="6">
        <v>260110.0</v>
      </c>
      <c r="C1724" s="4"/>
      <c r="D1724" s="10" t="s">
        <v>3277</v>
      </c>
      <c r="E1724" s="8" t="str">
        <f>IFERROR(__xludf.DUMMYFUNCTION("IF(
  LEN(TRIM(D1724))=0,
  ""왼쪽에 영어 문장을 입력하세요"",
  GOOGLETRANSLATE(D1724,""en"",""ko"")
)"),"여기 당신 몫입니다")</f>
        <v>여기 당신 몫입니다</v>
      </c>
      <c r="F1724" s="10" t="s">
        <v>3278</v>
      </c>
    </row>
    <row r="1725" ht="20.25" customHeight="1">
      <c r="A1725" s="5">
        <v>1801.0</v>
      </c>
      <c r="B1725" s="6">
        <v>260110.0</v>
      </c>
      <c r="C1725" s="4"/>
      <c r="D1725" s="10" t="s">
        <v>3279</v>
      </c>
      <c r="E1725" s="8" t="str">
        <f>IFERROR(__xludf.DUMMYFUNCTION("IF(
  LEN(TRIM(D1725))=0,
  ""왼쪽에 영어 문장을 입력하세요"",
  GOOGLETRANSLATE(D1725,""en"",""ko"")
)"),"누가 신경 쓰겠어")</f>
        <v>누가 신경 쓰겠어</v>
      </c>
      <c r="F1725" s="10" t="s">
        <v>3280</v>
      </c>
    </row>
    <row r="1726" ht="20.25" customHeight="1">
      <c r="A1726" s="5">
        <v>1802.0</v>
      </c>
      <c r="B1726" s="6">
        <v>260110.0</v>
      </c>
      <c r="C1726" s="4"/>
      <c r="D1726" s="10" t="s">
        <v>3281</v>
      </c>
      <c r="E1726" s="8" t="str">
        <f>IFERROR(__xludf.DUMMYFUNCTION("IF(
  LEN(TRIM(D1726))=0,
  ""왼쪽에 영어 문장을 입력하세요"",
  GOOGLETRANSLATE(D1726,""en"",""ko"")
)"),"몰래 돌아다니지 마세요")</f>
        <v>몰래 돌아다니지 마세요</v>
      </c>
      <c r="F1726" s="10" t="s">
        <v>3282</v>
      </c>
    </row>
    <row r="1727" ht="20.25" customHeight="1">
      <c r="A1727" s="5">
        <v>1803.0</v>
      </c>
      <c r="B1727" s="6">
        <v>260110.0</v>
      </c>
      <c r="C1727" s="4"/>
      <c r="D1727" s="10" t="s">
        <v>3283</v>
      </c>
      <c r="E1727" s="8" t="str">
        <f>IFERROR(__xludf.DUMMYFUNCTION("IF(
  LEN(TRIM(D1727))=0,
  ""왼쪽에 영어 문장을 입력하세요"",
  GOOGLETRANSLATE(D1727,""en"",""ko"")
)"),"이제 때가 됐어")</f>
        <v>이제 때가 됐어</v>
      </c>
      <c r="F1727" s="10" t="s">
        <v>3284</v>
      </c>
    </row>
    <row r="1728" ht="20.25" customHeight="1">
      <c r="A1728" s="5">
        <v>1804.0</v>
      </c>
      <c r="B1728" s="6">
        <v>260110.0</v>
      </c>
      <c r="C1728" s="4"/>
      <c r="D1728" s="10" t="s">
        <v>3285</v>
      </c>
      <c r="E1728" s="8" t="str">
        <f>IFERROR(__xludf.DUMMYFUNCTION("IF(
  LEN(TRIM(D1728))=0,
  ""왼쪽에 영어 문장을 입력하세요"",
  GOOGLETRANSLATE(D1728,""en"",""ko"")
)"),"그는 도주 중입니다.")</f>
        <v>그는 도주 중입니다.</v>
      </c>
      <c r="F1728" s="10" t="s">
        <v>3286</v>
      </c>
    </row>
    <row r="1729" ht="20.25" customHeight="1">
      <c r="A1729" s="5">
        <v>1805.0</v>
      </c>
      <c r="B1729" s="6">
        <v>260110.0</v>
      </c>
      <c r="C1729" s="4"/>
      <c r="D1729" s="10" t="s">
        <v>3287</v>
      </c>
      <c r="E1729" s="8" t="str">
        <f>IFERROR(__xludf.DUMMYFUNCTION("IF(
  LEN(TRIM(D1729))=0,
  ""왼쪽에 영어 문장을 입력하세요"",
  GOOGLETRANSLATE(D1729,""en"",""ko"")
)"),"당신은 정말 다양한 곳에 있네요.")</f>
        <v>당신은 정말 다양한 곳에 있네요.</v>
      </c>
      <c r="F1729" s="10" t="s">
        <v>3288</v>
      </c>
    </row>
    <row r="1730" ht="20.25" customHeight="1">
      <c r="A1730" s="5">
        <v>1806.0</v>
      </c>
      <c r="B1730" s="6">
        <v>260110.0</v>
      </c>
      <c r="C1730" s="4"/>
      <c r="D1730" s="10" t="s">
        <v>3289</v>
      </c>
      <c r="E1730" s="8" t="str">
        <f>IFERROR(__xludf.DUMMYFUNCTION("IF(
  LEN(TRIM(D1730))=0,
  ""왼쪽에 영어 문장을 입력하세요"",
  GOOGLETRANSLATE(D1730,""en"",""ko"")
)"),"내 눈앞에서는 절대 안 돼")</f>
        <v>내 눈앞에서는 절대 안 돼</v>
      </c>
      <c r="F1730" s="10" t="s">
        <v>3290</v>
      </c>
    </row>
    <row r="1731" ht="20.25" customHeight="1">
      <c r="A1731" s="5">
        <v>1807.0</v>
      </c>
      <c r="B1731" s="6">
        <v>260110.0</v>
      </c>
      <c r="C1731" s="4"/>
      <c r="D1731" s="10" t="s">
        <v>3291</v>
      </c>
      <c r="E1731" s="8" t="str">
        <f>IFERROR(__xludf.DUMMYFUNCTION("IF(
  LEN(TRIM(D1731))=0,
  ""왼쪽에 영어 문장을 입력하세요"",
  GOOGLETRANSLATE(D1731,""en"",""ko"")
)"),"그냥 혼잣말처럼 생각해 봤어요.")</f>
        <v>그냥 혼잣말처럼 생각해 봤어요.</v>
      </c>
      <c r="F1731" s="10" t="s">
        <v>3292</v>
      </c>
    </row>
    <row r="1732" ht="20.25" customHeight="1">
      <c r="A1732" s="5">
        <v>1808.0</v>
      </c>
      <c r="B1732" s="6">
        <v>260110.0</v>
      </c>
      <c r="C1732" s="4"/>
      <c r="D1732" s="10" t="s">
        <v>3293</v>
      </c>
      <c r="E1732" s="8" t="str">
        <f>IFERROR(__xludf.DUMMYFUNCTION("IF(
  LEN(TRIM(D1732))=0,
  ""왼쪽에 영어 문장을 입력하세요"",
  GOOGLETRANSLATE(D1732,""en"",""ko"")
)"),"좀 가볍게 생각해")</f>
        <v>좀 가볍게 생각해</v>
      </c>
      <c r="F1732" s="10" t="s">
        <v>3294</v>
      </c>
    </row>
    <row r="1733" ht="20.25" customHeight="1">
      <c r="A1733" s="5">
        <v>1809.0</v>
      </c>
      <c r="B1733" s="6">
        <v>260110.0</v>
      </c>
      <c r="C1733" s="4"/>
      <c r="D1733" s="10" t="s">
        <v>3295</v>
      </c>
      <c r="E1733" s="8" t="str">
        <f>IFERROR(__xludf.DUMMYFUNCTION("IF(
  LEN(TRIM(D1733))=0,
  ""왼쪽에 영어 문장을 입력하세요"",
  GOOGLETRANSLATE(D1733,""en"",""ko"")
)"),"제 말을 믿어주시겠습니까?")</f>
        <v>제 말을 믿어주시겠습니까?</v>
      </c>
      <c r="F1733" s="10" t="s">
        <v>3296</v>
      </c>
    </row>
    <row r="1734" ht="20.25" customHeight="1">
      <c r="A1734" s="5">
        <v>1810.0</v>
      </c>
      <c r="B1734" s="6">
        <v>260110.0</v>
      </c>
      <c r="C1734" s="4"/>
      <c r="D1734" s="10" t="s">
        <v>3297</v>
      </c>
      <c r="E1734" s="8" t="str">
        <f>IFERROR(__xludf.DUMMYFUNCTION("IF(
  LEN(TRIM(D1734))=0,
  ""왼쪽에 영어 문장을 입력하세요"",
  GOOGLETRANSLATE(D1734,""en"",""ko"")
)"),"나머지는 역사가 말해줍니다.")</f>
        <v>나머지는 역사가 말해줍니다.</v>
      </c>
      <c r="F1734" s="10" t="s">
        <v>3298</v>
      </c>
    </row>
    <row r="1735" ht="20.25" customHeight="1">
      <c r="A1735" s="5">
        <v>1811.0</v>
      </c>
      <c r="B1735" s="6">
        <v>260110.0</v>
      </c>
      <c r="C1735" s="4"/>
      <c r="D1735" s="10" t="s">
        <v>3299</v>
      </c>
      <c r="E1735" s="8" t="str">
        <f>IFERROR(__xludf.DUMMYFUNCTION("IF(
  LEN(TRIM(D1735))=0,
  ""왼쪽에 영어 문장을 입력하세요"",
  GOOGLETRANSLATE(D1735,""en"",""ko"")
)"),"앞뒤가 안 맞아요")</f>
        <v>앞뒤가 안 맞아요</v>
      </c>
      <c r="F1735" s="10" t="s">
        <v>3300</v>
      </c>
    </row>
    <row r="1736" ht="20.25" customHeight="1">
      <c r="A1736" s="5">
        <v>1812.0</v>
      </c>
      <c r="B1736" s="6">
        <v>260110.0</v>
      </c>
      <c r="C1736" s="4"/>
      <c r="D1736" s="10" t="s">
        <v>3301</v>
      </c>
      <c r="E1736" s="8" t="str">
        <f>IFERROR(__xludf.DUMMYFUNCTION("IF(
  LEN(TRIM(D1736))=0,
  ""왼쪽에 영어 문장을 입력하세요"",
  GOOGLETRANSLATE(D1736,""en"",""ko"")
)"),"고인의 명복을 빕니다.")</f>
        <v>고인의 명복을 빕니다.</v>
      </c>
      <c r="F1736" s="10" t="s">
        <v>3302</v>
      </c>
    </row>
    <row r="1737" ht="20.25" customHeight="1">
      <c r="A1737" s="5">
        <v>1813.0</v>
      </c>
      <c r="B1737" s="6">
        <v>260110.0</v>
      </c>
      <c r="C1737" s="4"/>
      <c r="D1737" s="10" t="s">
        <v>3303</v>
      </c>
      <c r="E1737" s="8" t="str">
        <f>IFERROR(__xludf.DUMMYFUNCTION("IF(
  LEN(TRIM(D1737))=0,
  ""왼쪽에 영어 문장을 입력하세요"",
  GOOGLETRANSLATE(D1737,""en"",""ko"")
)"),"해안은 안전합니다")</f>
        <v>해안은 안전합니다</v>
      </c>
      <c r="F1737" s="10" t="s">
        <v>3304</v>
      </c>
    </row>
    <row r="1738" ht="20.25" customHeight="1">
      <c r="A1738" s="5">
        <v>1814.0</v>
      </c>
      <c r="B1738" s="6">
        <v>260110.0</v>
      </c>
      <c r="C1738" s="4"/>
      <c r="D1738" s="10" t="s">
        <v>3305</v>
      </c>
      <c r="E1738" s="8" t="str">
        <f>IFERROR(__xludf.DUMMYFUNCTION("IF(
  LEN(TRIM(D1738))=0,
  ""왼쪽에 영어 문장을 입력하세요"",
  GOOGLETRANSLATE(D1738,""en"",""ko"")
)"),"내일 잠깐 들러도 될까요?")</f>
        <v>내일 잠깐 들러도 될까요?</v>
      </c>
      <c r="F1738" s="10" t="s">
        <v>3306</v>
      </c>
    </row>
    <row r="1739" ht="20.25" customHeight="1">
      <c r="A1739" s="5">
        <v>1815.0</v>
      </c>
      <c r="B1739" s="6">
        <v>260110.0</v>
      </c>
      <c r="C1739" s="4"/>
      <c r="D1739" s="10" t="s">
        <v>3307</v>
      </c>
      <c r="E1739" s="8" t="str">
        <f>IFERROR(__xludf.DUMMYFUNCTION("IF(
  LEN(TRIM(D1739))=0,
  ""왼쪽에 영어 문장을 입력하세요"",
  GOOGLETRANSLATE(D1739,""en"",""ko"")
)"),"제정신이세요?")</f>
        <v>제정신이세요?</v>
      </c>
      <c r="F1739" s="10" t="s">
        <v>3308</v>
      </c>
    </row>
    <row r="1740" ht="20.25" customHeight="1">
      <c r="A1740" s="5">
        <v>1816.0</v>
      </c>
      <c r="B1740" s="6">
        <v>260110.0</v>
      </c>
      <c r="C1740" s="4"/>
      <c r="D1740" s="10" t="s">
        <v>3309</v>
      </c>
      <c r="E1740" s="8" t="str">
        <f>IFERROR(__xludf.DUMMYFUNCTION("IF(
  LEN(TRIM(D1740))=0,
  ""왼쪽에 영어 문장을 입력하세요"",
  GOOGLETRANSLATE(D1740,""en"",""ko"")
)"),"연락 주세요")</f>
        <v>연락 주세요</v>
      </c>
      <c r="F1740" s="10" t="s">
        <v>3310</v>
      </c>
    </row>
    <row r="1741" ht="20.25" customHeight="1">
      <c r="A1741" s="5">
        <v>1817.0</v>
      </c>
      <c r="B1741" s="6">
        <v>260110.0</v>
      </c>
      <c r="C1741" s="4"/>
      <c r="D1741" s="10" t="s">
        <v>3311</v>
      </c>
      <c r="E1741" s="8" t="str">
        <f>IFERROR(__xludf.DUMMYFUNCTION("IF(
  LEN(TRIM(D1741))=0,
  ""왼쪽에 영어 문장을 입력하세요"",
  GOOGLETRANSLATE(D1741,""en"",""ko"")
)"),"꼭 그럴 필요는 없어요")</f>
        <v>꼭 그럴 필요는 없어요</v>
      </c>
      <c r="F1741" s="10" t="s">
        <v>3312</v>
      </c>
    </row>
    <row r="1742" ht="20.25" customHeight="1">
      <c r="A1742" s="5">
        <v>1818.0</v>
      </c>
      <c r="B1742" s="6">
        <v>260110.0</v>
      </c>
      <c r="C1742" s="4"/>
      <c r="D1742" s="10" t="s">
        <v>3313</v>
      </c>
      <c r="E1742" s="8" t="str">
        <f>IFERROR(__xludf.DUMMYFUNCTION("IF(
  LEN(TRIM(D1742))=0,
  ""왼쪽에 영어 문장을 입력하세요"",
  GOOGLETRANSLATE(D1742,""en"",""ko"")
)"),"그렇게 말씀하신다면")</f>
        <v>그렇게 말씀하신다면</v>
      </c>
      <c r="F1742" s="10" t="s">
        <v>3314</v>
      </c>
    </row>
    <row r="1743" ht="20.25" customHeight="1">
      <c r="A1743" s="5">
        <v>1819.0</v>
      </c>
      <c r="B1743" s="6">
        <v>260110.0</v>
      </c>
      <c r="C1743" s="4"/>
      <c r="D1743" s="10" t="s">
        <v>3315</v>
      </c>
      <c r="E1743" s="8" t="str">
        <f>IFERROR(__xludf.DUMMYFUNCTION("IF(
  LEN(TRIM(D1743))=0,
  ""왼쪽에 영어 문장을 입력하세요"",
  GOOGLETRANSLATE(D1743,""en"",""ko"")
)"),"저도 모르겠네요")</f>
        <v>저도 모르겠네요</v>
      </c>
      <c r="F1743" s="10" t="s">
        <v>3316</v>
      </c>
    </row>
    <row r="1744" ht="20.25" customHeight="1">
      <c r="A1744" s="5">
        <v>1820.0</v>
      </c>
      <c r="B1744" s="6">
        <v>260110.0</v>
      </c>
      <c r="C1744" s="4"/>
      <c r="D1744" s="10" t="s">
        <v>3317</v>
      </c>
      <c r="E1744" s="8" t="str">
        <f>IFERROR(__xludf.DUMMYFUNCTION("IF(
  LEN(TRIM(D1744))=0,
  ""왼쪽에 영어 문장을 입력하세요"",
  GOOGLETRANSLATE(D1744,""en"",""ko"")
)"),"나는 에너지가 완전히 고갈됐어")</f>
        <v>나는 에너지가 완전히 고갈됐어</v>
      </c>
      <c r="F1744" s="10" t="s">
        <v>3318</v>
      </c>
    </row>
    <row r="1745" ht="20.25" customHeight="1">
      <c r="A1745" s="5">
        <v>1821.0</v>
      </c>
      <c r="B1745" s="6">
        <v>260110.0</v>
      </c>
      <c r="C1745" s="4"/>
      <c r="D1745" s="10" t="s">
        <v>3319</v>
      </c>
      <c r="E1745" s="8" t="str">
        <f>IFERROR(__xludf.DUMMYFUNCTION("IF(
  LEN(TRIM(D1745))=0,
  ""왼쪽에 영어 문장을 입력하세요"",
  GOOGLETRANSLATE(D1745,""en"",""ko"")
)"),"공간이 필요해요")</f>
        <v>공간이 필요해요</v>
      </c>
      <c r="F1745" s="10" t="s">
        <v>3320</v>
      </c>
    </row>
    <row r="1746" ht="20.25" customHeight="1">
      <c r="A1746" s="5">
        <v>1822.0</v>
      </c>
      <c r="B1746" s="6">
        <v>260110.0</v>
      </c>
      <c r="C1746" s="4"/>
      <c r="D1746" s="10" t="s">
        <v>3321</v>
      </c>
      <c r="E1746" s="8" t="str">
        <f>IFERROR(__xludf.DUMMYFUNCTION("IF(
  LEN(TRIM(D1746))=0,
  ""왼쪽에 영어 문장을 입력하세요"",
  GOOGLETRANSLATE(D1746,""en"",""ko"")
)"),"격려가 필요해")</f>
        <v>격려가 필요해</v>
      </c>
      <c r="F1746" s="10" t="s">
        <v>3322</v>
      </c>
    </row>
    <row r="1747" ht="20.25" customHeight="1">
      <c r="A1747" s="5">
        <v>1823.0</v>
      </c>
      <c r="B1747" s="6">
        <v>260110.0</v>
      </c>
      <c r="C1747" s="4"/>
      <c r="D1747" s="10" t="s">
        <v>3323</v>
      </c>
      <c r="E1747" s="8" t="str">
        <f>IFERROR(__xludf.DUMMYFUNCTION("IF(
  LEN(TRIM(D1747))=0,
  ""왼쪽에 영어 문장을 입력하세요"",
  GOOGLETRANSLATE(D1747,""en"",""ko"")
)"),"좀 쉬게 해")</f>
        <v>좀 쉬게 해</v>
      </c>
      <c r="F1747" s="10" t="s">
        <v>3324</v>
      </c>
    </row>
    <row r="1748" ht="20.25" customHeight="1">
      <c r="A1748" s="5">
        <v>1824.0</v>
      </c>
      <c r="B1748" s="6">
        <v>260110.0</v>
      </c>
      <c r="C1748" s="4"/>
      <c r="D1748" s="10" t="s">
        <v>3325</v>
      </c>
      <c r="E1748" s="8" t="str">
        <f>IFERROR(__xludf.DUMMYFUNCTION("IF(
  LEN(TRIM(D1748))=0,
  ""왼쪽에 영어 문장을 입력하세요"",
  GOOGLETRANSLATE(D1748,""en"",""ko"")
)"),"부담 주고 싶지 않아요")</f>
        <v>부담 주고 싶지 않아요</v>
      </c>
      <c r="F1748" s="10" t="s">
        <v>3326</v>
      </c>
    </row>
    <row r="1749" ht="20.25" customHeight="1">
      <c r="A1749" s="5">
        <v>1825.0</v>
      </c>
      <c r="B1749" s="6">
        <v>260110.0</v>
      </c>
      <c r="C1749" s="4"/>
      <c r="D1749" s="10" t="s">
        <v>3327</v>
      </c>
      <c r="E1749" s="8" t="str">
        <f>IFERROR(__xludf.DUMMYFUNCTION("IF(
  LEN(TRIM(D1749))=0,
  ""왼쪽에 영어 문장을 입력하세요"",
  GOOGLETRANSLATE(D1749,""en"",""ko"")
)"),"변기가 막혔어요")</f>
        <v>변기가 막혔어요</v>
      </c>
      <c r="F1749" s="9"/>
    </row>
    <row r="1750" ht="20.25" customHeight="1">
      <c r="A1750" s="5">
        <v>1826.0</v>
      </c>
      <c r="B1750" s="6">
        <v>260110.0</v>
      </c>
      <c r="C1750" s="4"/>
      <c r="D1750" s="10" t="s">
        <v>3328</v>
      </c>
      <c r="E1750" s="8" t="str">
        <f>IFERROR(__xludf.DUMMYFUNCTION("IF(
  LEN(TRIM(D1750))=0,
  ""왼쪽에 영어 문장을 입력하세요"",
  GOOGLETRANSLATE(D1750,""en"",""ko"")
)"),"그런 눈빛으로 보지 마")</f>
        <v>그런 눈빛으로 보지 마</v>
      </c>
      <c r="F1750" s="10" t="s">
        <v>3329</v>
      </c>
    </row>
    <row r="1751" ht="20.25" customHeight="1">
      <c r="A1751" s="5">
        <v>1827.0</v>
      </c>
      <c r="B1751" s="6">
        <v>260110.0</v>
      </c>
      <c r="C1751" s="4"/>
      <c r="D1751" s="10" t="s">
        <v>3330</v>
      </c>
      <c r="E1751" s="8" t="str">
        <f>IFERROR(__xludf.DUMMYFUNCTION("IF(
  LEN(TRIM(D1751))=0,
  ""왼쪽에 영어 문장을 입력하세요"",
  GOOGLETRANSLATE(D1751,""en"",""ko"")
)"),"모든 책임은 본인에게 있습니다.")</f>
        <v>모든 책임은 본인에게 있습니다.</v>
      </c>
      <c r="F1751" s="10" t="s">
        <v>3331</v>
      </c>
    </row>
    <row r="1752" ht="20.25" customHeight="1">
      <c r="A1752" s="5"/>
      <c r="B1752" s="4"/>
      <c r="C1752" s="4"/>
      <c r="D1752" s="7"/>
      <c r="E1752" s="8"/>
      <c r="F1752" s="9"/>
    </row>
    <row r="1753" ht="20.25" customHeight="1">
      <c r="A1753" s="5"/>
      <c r="B1753" s="4"/>
      <c r="C1753" s="4"/>
      <c r="D1753" s="7"/>
      <c r="E1753" s="8"/>
      <c r="F1753" s="9"/>
    </row>
    <row r="1754" ht="20.25" customHeight="1">
      <c r="A1754" s="5"/>
      <c r="B1754" s="4"/>
      <c r="C1754" s="4"/>
      <c r="D1754" s="7"/>
      <c r="E1754" s="8"/>
      <c r="F1754" s="9"/>
    </row>
    <row r="1755" ht="20.25" customHeight="1">
      <c r="A1755" s="5"/>
      <c r="B1755" s="4"/>
      <c r="C1755" s="4"/>
      <c r="D1755" s="7"/>
      <c r="E1755" s="8"/>
      <c r="F1755" s="9"/>
    </row>
    <row r="1756" ht="20.25" customHeight="1">
      <c r="A1756" s="5"/>
      <c r="B1756" s="4"/>
      <c r="C1756" s="4"/>
      <c r="D1756" s="7"/>
      <c r="E1756" s="8"/>
      <c r="F1756" s="9"/>
    </row>
    <row r="1757" ht="20.25" customHeight="1">
      <c r="A1757" s="5"/>
      <c r="B1757" s="4"/>
      <c r="C1757" s="4"/>
      <c r="D1757" s="7"/>
      <c r="E1757" s="8"/>
      <c r="F1757" s="9"/>
    </row>
    <row r="1758" ht="20.25" customHeight="1">
      <c r="A1758" s="5"/>
      <c r="B1758" s="4"/>
      <c r="C1758" s="4"/>
      <c r="D1758" s="7"/>
      <c r="E1758" s="8"/>
      <c r="F1758" s="9"/>
    </row>
    <row r="1759" ht="20.25" customHeight="1">
      <c r="A1759" s="5"/>
      <c r="B1759" s="4"/>
      <c r="C1759" s="4"/>
      <c r="D1759" s="7"/>
      <c r="E1759" s="8"/>
      <c r="F1759" s="9"/>
    </row>
    <row r="1760" ht="20.25" customHeight="1">
      <c r="A1760" s="5"/>
      <c r="B1760" s="4"/>
      <c r="C1760" s="4"/>
      <c r="D1760" s="7"/>
      <c r="E1760" s="8"/>
      <c r="F1760" s="9"/>
    </row>
    <row r="1761" ht="20.25" customHeight="1">
      <c r="A1761" s="5"/>
      <c r="B1761" s="4"/>
      <c r="C1761" s="4"/>
      <c r="D1761" s="7"/>
      <c r="E1761" s="8"/>
      <c r="F1761" s="9"/>
    </row>
    <row r="1762" ht="20.25" customHeight="1">
      <c r="A1762" s="5"/>
      <c r="B1762" s="4"/>
      <c r="C1762" s="4"/>
      <c r="D1762" s="7"/>
      <c r="E1762" s="8"/>
      <c r="F1762" s="9"/>
    </row>
    <row r="1763" ht="20.25" customHeight="1">
      <c r="A1763" s="5"/>
      <c r="B1763" s="4"/>
      <c r="C1763" s="4"/>
      <c r="D1763" s="7"/>
      <c r="E1763" s="8"/>
      <c r="F1763" s="9"/>
    </row>
    <row r="1764" ht="20.25" customHeight="1">
      <c r="A1764" s="5"/>
      <c r="B1764" s="4"/>
      <c r="C1764" s="4"/>
      <c r="D1764" s="7"/>
      <c r="E1764" s="8"/>
      <c r="F1764" s="9"/>
    </row>
    <row r="1765" ht="20.25" customHeight="1">
      <c r="A1765" s="5"/>
      <c r="B1765" s="4"/>
      <c r="C1765" s="4"/>
      <c r="D1765" s="7"/>
      <c r="E1765" s="8"/>
      <c r="F1765" s="9"/>
    </row>
    <row r="1766" ht="20.25" customHeight="1">
      <c r="A1766" s="5"/>
      <c r="B1766" s="4"/>
      <c r="C1766" s="4"/>
      <c r="D1766" s="7"/>
      <c r="E1766" s="8"/>
      <c r="F1766" s="9"/>
    </row>
    <row r="1767" ht="20.25" customHeight="1">
      <c r="A1767" s="5"/>
      <c r="B1767" s="4"/>
      <c r="C1767" s="4"/>
      <c r="D1767" s="7"/>
      <c r="E1767" s="8"/>
      <c r="F1767" s="9"/>
    </row>
    <row r="1768" ht="20.25" customHeight="1">
      <c r="A1768" s="5"/>
      <c r="B1768" s="4"/>
      <c r="C1768" s="4"/>
      <c r="D1768" s="7"/>
      <c r="E1768" s="8"/>
      <c r="F1768" s="9"/>
    </row>
    <row r="1769" ht="20.25" customHeight="1">
      <c r="A1769" s="5"/>
      <c r="B1769" s="4"/>
      <c r="C1769" s="4"/>
      <c r="D1769" s="7"/>
      <c r="E1769" s="8"/>
      <c r="F1769" s="9"/>
    </row>
    <row r="1770" ht="20.25" customHeight="1">
      <c r="A1770" s="5"/>
      <c r="B1770" s="4"/>
      <c r="C1770" s="4"/>
      <c r="D1770" s="7"/>
      <c r="E1770" s="8"/>
      <c r="F1770" s="9"/>
    </row>
    <row r="1771" ht="20.25" customHeight="1">
      <c r="A1771" s="5"/>
      <c r="B1771" s="4"/>
      <c r="C1771" s="4"/>
      <c r="D1771" s="7"/>
      <c r="E1771" s="8"/>
      <c r="F1771" s="9"/>
    </row>
    <row r="1772" ht="20.25" customHeight="1">
      <c r="A1772" s="5"/>
      <c r="B1772" s="4"/>
      <c r="C1772" s="4"/>
      <c r="D1772" s="7"/>
      <c r="E1772" s="8"/>
      <c r="F1772" s="9"/>
    </row>
    <row r="1773" ht="20.25" customHeight="1">
      <c r="A1773" s="5"/>
      <c r="B1773" s="4"/>
      <c r="C1773" s="4"/>
      <c r="D1773" s="7"/>
      <c r="E1773" s="8"/>
      <c r="F1773" s="9"/>
    </row>
    <row r="1774" ht="20.25" customHeight="1">
      <c r="A1774" s="5"/>
      <c r="B1774" s="4"/>
      <c r="C1774" s="4"/>
      <c r="D1774" s="7"/>
      <c r="E1774" s="8"/>
      <c r="F1774" s="9"/>
    </row>
    <row r="1775" ht="20.25" customHeight="1">
      <c r="A1775" s="5"/>
      <c r="B1775" s="4"/>
      <c r="C1775" s="4"/>
      <c r="D1775" s="7"/>
      <c r="E1775" s="8"/>
      <c r="F1775" s="9"/>
    </row>
    <row r="1776" ht="20.25" customHeight="1">
      <c r="A1776" s="5"/>
      <c r="B1776" s="4"/>
      <c r="C1776" s="4"/>
      <c r="D1776" s="7"/>
      <c r="E1776" s="8"/>
      <c r="F1776" s="9"/>
    </row>
    <row r="1777" ht="20.25" customHeight="1">
      <c r="A1777" s="5"/>
      <c r="B1777" s="4"/>
      <c r="C1777" s="4"/>
      <c r="D1777" s="7"/>
      <c r="E1777" s="8"/>
      <c r="F1777" s="9"/>
    </row>
    <row r="1778" ht="20.25" customHeight="1">
      <c r="A1778" s="5"/>
      <c r="B1778" s="4"/>
      <c r="C1778" s="4"/>
      <c r="D1778" s="7"/>
      <c r="E1778" s="8"/>
      <c r="F1778" s="9"/>
    </row>
    <row r="1779" ht="20.25" customHeight="1">
      <c r="A1779" s="5"/>
      <c r="B1779" s="4"/>
      <c r="C1779" s="4"/>
      <c r="D1779" s="7"/>
      <c r="E1779" s="8"/>
      <c r="F1779" s="9"/>
    </row>
    <row r="1780" ht="20.25" customHeight="1">
      <c r="A1780" s="5"/>
      <c r="B1780" s="4"/>
      <c r="C1780" s="4"/>
      <c r="D1780" s="7"/>
      <c r="E1780" s="8"/>
      <c r="F1780" s="9"/>
    </row>
    <row r="1781" ht="20.25" customHeight="1">
      <c r="A1781" s="5"/>
      <c r="B1781" s="4"/>
      <c r="C1781" s="4"/>
      <c r="D1781" s="7"/>
      <c r="E1781" s="8"/>
      <c r="F1781" s="9"/>
    </row>
    <row r="1782" ht="20.25" customHeight="1">
      <c r="A1782" s="5"/>
      <c r="B1782" s="4"/>
      <c r="C1782" s="4"/>
      <c r="D1782" s="7"/>
      <c r="E1782" s="8"/>
      <c r="F1782" s="9"/>
    </row>
    <row r="1783" ht="20.25" customHeight="1">
      <c r="A1783" s="5"/>
      <c r="B1783" s="4"/>
      <c r="C1783" s="4"/>
      <c r="D1783" s="7"/>
      <c r="E1783" s="8"/>
      <c r="F1783" s="9"/>
    </row>
    <row r="1784" ht="20.25" customHeight="1">
      <c r="A1784" s="5"/>
      <c r="B1784" s="4"/>
      <c r="C1784" s="4"/>
      <c r="D1784" s="7"/>
      <c r="E1784" s="8"/>
      <c r="F1784" s="9"/>
    </row>
    <row r="1785" ht="20.25" customHeight="1">
      <c r="A1785" s="5"/>
      <c r="B1785" s="4"/>
      <c r="C1785" s="4"/>
      <c r="D1785" s="7"/>
      <c r="E1785" s="8"/>
      <c r="F1785" s="9"/>
    </row>
    <row r="1786" ht="20.25" customHeight="1">
      <c r="A1786" s="5"/>
      <c r="B1786" s="4"/>
      <c r="C1786" s="4"/>
      <c r="D1786" s="7"/>
      <c r="E1786" s="8"/>
      <c r="F1786" s="9"/>
    </row>
    <row r="1787" ht="20.25" customHeight="1">
      <c r="A1787" s="5"/>
      <c r="B1787" s="4"/>
      <c r="C1787" s="4"/>
      <c r="D1787" s="7"/>
      <c r="E1787" s="8"/>
      <c r="F1787" s="9"/>
    </row>
    <row r="1788" ht="20.25" customHeight="1">
      <c r="A1788" s="5"/>
      <c r="B1788" s="4"/>
      <c r="C1788" s="4"/>
      <c r="D1788" s="7"/>
      <c r="E1788" s="8"/>
      <c r="F1788" s="9"/>
    </row>
    <row r="1789" ht="20.25" customHeight="1">
      <c r="A1789" s="5"/>
      <c r="B1789" s="4"/>
      <c r="C1789" s="4"/>
      <c r="D1789" s="7"/>
      <c r="E1789" s="8"/>
      <c r="F1789" s="9"/>
    </row>
    <row r="1790" ht="20.25" customHeight="1">
      <c r="A1790" s="5"/>
      <c r="B1790" s="4"/>
      <c r="C1790" s="4"/>
      <c r="D1790" s="7"/>
      <c r="E1790" s="8"/>
      <c r="F1790" s="9"/>
    </row>
    <row r="1791" ht="20.25" customHeight="1">
      <c r="A1791" s="5"/>
      <c r="B1791" s="4"/>
      <c r="C1791" s="4"/>
      <c r="D1791" s="7"/>
      <c r="E1791" s="8"/>
      <c r="F1791" s="9"/>
    </row>
    <row r="1792" ht="20.25" customHeight="1">
      <c r="A1792" s="5"/>
      <c r="B1792" s="4"/>
      <c r="C1792" s="4"/>
      <c r="D1792" s="7"/>
      <c r="E1792" s="8"/>
      <c r="F1792" s="9"/>
    </row>
    <row r="1793" ht="20.25" customHeight="1">
      <c r="A1793" s="5"/>
      <c r="B1793" s="4"/>
      <c r="C1793" s="4"/>
      <c r="D1793" s="7"/>
      <c r="E1793" s="8"/>
      <c r="F1793" s="9"/>
    </row>
    <row r="1794" ht="20.25" customHeight="1">
      <c r="A1794" s="5"/>
      <c r="B1794" s="4"/>
      <c r="C1794" s="4"/>
      <c r="D1794" s="7"/>
      <c r="E1794" s="8"/>
      <c r="F1794" s="9"/>
    </row>
    <row r="1795" ht="20.25" customHeight="1">
      <c r="A1795" s="5"/>
      <c r="B1795" s="4"/>
      <c r="C1795" s="4"/>
      <c r="D1795" s="7"/>
      <c r="E1795" s="8"/>
      <c r="F1795" s="9"/>
    </row>
    <row r="1796" ht="20.25" customHeight="1">
      <c r="A1796" s="5"/>
      <c r="B1796" s="4"/>
      <c r="C1796" s="4"/>
      <c r="D1796" s="7"/>
      <c r="E1796" s="8"/>
      <c r="F1796" s="9"/>
    </row>
    <row r="1797" ht="20.25" customHeight="1">
      <c r="A1797" s="5"/>
      <c r="B1797" s="4"/>
      <c r="C1797" s="4"/>
      <c r="D1797" s="7"/>
      <c r="E1797" s="8"/>
      <c r="F1797" s="9"/>
    </row>
    <row r="1798" ht="20.25" customHeight="1">
      <c r="A1798" s="5"/>
      <c r="B1798" s="4"/>
      <c r="C1798" s="4"/>
      <c r="D1798" s="7"/>
      <c r="E1798" s="8"/>
      <c r="F1798" s="9"/>
    </row>
    <row r="1799" ht="20.25" customHeight="1">
      <c r="A1799" s="5"/>
      <c r="B1799" s="4"/>
      <c r="C1799" s="4"/>
      <c r="D1799" s="7"/>
      <c r="E1799" s="8"/>
      <c r="F1799" s="9"/>
    </row>
    <row r="1800" ht="20.25" customHeight="1">
      <c r="A1800" s="5"/>
      <c r="B1800" s="4"/>
      <c r="C1800" s="4"/>
      <c r="D1800" s="7"/>
      <c r="E1800" s="8"/>
      <c r="F1800" s="9"/>
    </row>
    <row r="1801" ht="20.25" customHeight="1">
      <c r="A1801" s="5"/>
      <c r="B1801" s="4"/>
      <c r="C1801" s="4"/>
      <c r="D1801" s="7"/>
      <c r="E1801" s="8"/>
      <c r="F1801" s="9"/>
    </row>
    <row r="1802" ht="20.25" customHeight="1">
      <c r="A1802" s="5"/>
      <c r="B1802" s="4"/>
      <c r="C1802" s="4"/>
      <c r="D1802" s="7"/>
      <c r="E1802" s="8"/>
      <c r="F1802" s="9"/>
    </row>
    <row r="1803" ht="20.25" customHeight="1">
      <c r="A1803" s="5"/>
      <c r="B1803" s="4"/>
      <c r="C1803" s="4"/>
      <c r="D1803" s="7"/>
      <c r="E1803" s="8"/>
      <c r="F1803" s="9"/>
    </row>
    <row r="1804" ht="20.25" customHeight="1">
      <c r="A1804" s="5"/>
      <c r="B1804" s="4"/>
      <c r="C1804" s="4"/>
      <c r="D1804" s="7"/>
      <c r="E1804" s="8"/>
      <c r="F1804" s="9"/>
    </row>
    <row r="1805" ht="20.25" customHeight="1">
      <c r="A1805" s="5"/>
      <c r="B1805" s="4"/>
      <c r="C1805" s="4"/>
      <c r="D1805" s="7"/>
      <c r="E1805" s="8"/>
      <c r="F1805" s="9"/>
    </row>
    <row r="1806" ht="20.25" customHeight="1">
      <c r="A1806" s="5"/>
      <c r="B1806" s="4"/>
      <c r="C1806" s="4"/>
      <c r="D1806" s="7"/>
      <c r="E1806" s="8"/>
      <c r="F1806" s="9"/>
    </row>
    <row r="1807" ht="20.25" customHeight="1">
      <c r="A1807" s="5"/>
      <c r="B1807" s="4"/>
      <c r="C1807" s="4"/>
      <c r="D1807" s="7"/>
      <c r="E1807" s="8"/>
      <c r="F1807" s="9"/>
    </row>
    <row r="1808" ht="20.25" customHeight="1">
      <c r="A1808" s="5"/>
      <c r="B1808" s="4"/>
      <c r="C1808" s="4"/>
      <c r="D1808" s="7"/>
      <c r="E1808" s="8"/>
      <c r="F1808" s="9"/>
    </row>
    <row r="1809" ht="20.25" customHeight="1">
      <c r="A1809" s="5"/>
      <c r="B1809" s="4"/>
      <c r="C1809" s="4"/>
      <c r="D1809" s="7"/>
      <c r="E1809" s="8"/>
      <c r="F1809" s="9"/>
    </row>
    <row r="1810" ht="20.25" customHeight="1">
      <c r="A1810" s="5"/>
      <c r="B1810" s="4"/>
      <c r="C1810" s="4"/>
      <c r="D1810" s="7"/>
      <c r="E1810" s="8"/>
      <c r="F1810" s="9"/>
    </row>
    <row r="1811" ht="20.25" customHeight="1">
      <c r="A1811" s="5"/>
      <c r="B1811" s="4"/>
      <c r="C1811" s="4"/>
      <c r="D1811" s="7"/>
      <c r="E1811" s="8"/>
      <c r="F1811" s="9"/>
    </row>
    <row r="1812" ht="20.25" customHeight="1">
      <c r="A1812" s="5"/>
      <c r="B1812" s="4"/>
      <c r="C1812" s="4"/>
      <c r="D1812" s="7"/>
      <c r="E1812" s="8"/>
      <c r="F1812" s="9"/>
    </row>
    <row r="1813" ht="20.25" customHeight="1">
      <c r="A1813" s="5"/>
      <c r="B1813" s="4"/>
      <c r="C1813" s="4"/>
      <c r="D1813" s="7"/>
      <c r="E1813" s="8"/>
      <c r="F1813" s="9"/>
    </row>
    <row r="1814" ht="20.25" customHeight="1">
      <c r="A1814" s="5"/>
      <c r="B1814" s="4"/>
      <c r="C1814" s="4"/>
      <c r="D1814" s="7"/>
      <c r="E1814" s="8"/>
      <c r="F1814" s="9"/>
    </row>
    <row r="1815" ht="20.25" customHeight="1">
      <c r="A1815" s="5"/>
      <c r="B1815" s="4"/>
      <c r="C1815" s="4"/>
      <c r="D1815" s="7"/>
      <c r="E1815" s="8"/>
      <c r="F1815" s="9"/>
    </row>
    <row r="1816" ht="20.25" customHeight="1">
      <c r="A1816" s="5"/>
      <c r="B1816" s="4"/>
      <c r="C1816" s="4"/>
      <c r="D1816" s="7"/>
      <c r="E1816" s="8"/>
      <c r="F1816" s="9"/>
    </row>
    <row r="1817" ht="20.25" customHeight="1">
      <c r="A1817" s="5"/>
      <c r="B1817" s="4"/>
      <c r="C1817" s="4"/>
      <c r="D1817" s="7"/>
      <c r="E1817" s="8"/>
      <c r="F1817" s="9"/>
    </row>
    <row r="1818" ht="20.25" customHeight="1">
      <c r="A1818" s="5"/>
      <c r="B1818" s="4"/>
      <c r="C1818" s="4"/>
      <c r="D1818" s="7"/>
      <c r="E1818" s="8"/>
      <c r="F1818" s="9"/>
    </row>
    <row r="1819" ht="20.25" customHeight="1">
      <c r="A1819" s="5"/>
      <c r="B1819" s="4"/>
      <c r="C1819" s="4"/>
      <c r="D1819" s="7"/>
      <c r="E1819" s="8"/>
      <c r="F1819" s="9"/>
    </row>
    <row r="1820" ht="20.25" customHeight="1">
      <c r="A1820" s="5"/>
      <c r="B1820" s="4"/>
      <c r="C1820" s="4"/>
      <c r="D1820" s="7"/>
      <c r="E1820" s="8"/>
      <c r="F1820" s="9"/>
    </row>
    <row r="1821" ht="20.25" customHeight="1">
      <c r="A1821" s="5"/>
      <c r="B1821" s="4"/>
      <c r="C1821" s="4"/>
      <c r="D1821" s="7"/>
      <c r="E1821" s="8"/>
      <c r="F1821" s="9"/>
    </row>
    <row r="1822" ht="20.25" customHeight="1">
      <c r="A1822" s="5"/>
      <c r="B1822" s="4"/>
      <c r="C1822" s="4"/>
      <c r="D1822" s="7"/>
      <c r="E1822" s="8"/>
      <c r="F1822" s="9"/>
    </row>
    <row r="1823" ht="20.25" customHeight="1">
      <c r="A1823" s="5"/>
      <c r="B1823" s="4"/>
      <c r="C1823" s="4"/>
      <c r="D1823" s="7"/>
      <c r="E1823" s="8"/>
      <c r="F1823" s="9"/>
    </row>
    <row r="1824" ht="20.25" customHeight="1">
      <c r="A1824" s="5"/>
      <c r="B1824" s="4"/>
      <c r="C1824" s="4"/>
      <c r="D1824" s="7"/>
      <c r="E1824" s="8"/>
      <c r="F1824" s="9"/>
    </row>
    <row r="1825" ht="20.25" customHeight="1">
      <c r="A1825" s="5"/>
      <c r="B1825" s="4"/>
      <c r="C1825" s="4"/>
      <c r="D1825" s="7"/>
      <c r="E1825" s="8"/>
      <c r="F1825" s="9"/>
    </row>
    <row r="1826" ht="20.25" customHeight="1">
      <c r="A1826" s="5"/>
      <c r="B1826" s="4"/>
      <c r="C1826" s="4"/>
      <c r="D1826" s="7"/>
      <c r="E1826" s="8"/>
      <c r="F1826" s="9"/>
    </row>
    <row r="1827" ht="20.25" customHeight="1">
      <c r="A1827" s="5"/>
      <c r="B1827" s="4"/>
      <c r="C1827" s="4"/>
      <c r="D1827" s="7"/>
      <c r="E1827" s="8"/>
      <c r="F1827" s="9"/>
    </row>
    <row r="1828" ht="20.25" customHeight="1">
      <c r="A1828" s="5"/>
      <c r="B1828" s="4"/>
      <c r="C1828" s="4"/>
      <c r="D1828" s="7"/>
      <c r="E1828" s="8"/>
      <c r="F1828" s="9"/>
    </row>
    <row r="1829" ht="20.25" customHeight="1">
      <c r="A1829" s="5"/>
      <c r="B1829" s="4"/>
      <c r="C1829" s="4"/>
      <c r="D1829" s="7"/>
      <c r="E1829" s="8"/>
      <c r="F1829" s="9"/>
    </row>
    <row r="1830" ht="20.25" customHeight="1">
      <c r="A1830" s="5"/>
      <c r="B1830" s="4"/>
      <c r="C1830" s="4"/>
      <c r="D1830" s="7"/>
      <c r="E1830" s="8"/>
      <c r="F1830" s="9"/>
    </row>
    <row r="1831" ht="20.25" customHeight="1">
      <c r="A1831" s="5"/>
      <c r="B1831" s="4"/>
      <c r="C1831" s="4"/>
      <c r="D1831" s="7"/>
      <c r="E1831" s="8"/>
      <c r="F1831" s="9"/>
    </row>
    <row r="1832" ht="20.25" customHeight="1">
      <c r="A1832" s="5"/>
      <c r="B1832" s="4"/>
      <c r="C1832" s="4"/>
      <c r="D1832" s="7"/>
      <c r="E1832" s="8"/>
      <c r="F1832" s="9"/>
    </row>
    <row r="1833" ht="20.25" customHeight="1">
      <c r="A1833" s="5"/>
      <c r="B1833" s="4"/>
      <c r="C1833" s="4"/>
      <c r="D1833" s="7"/>
      <c r="E1833" s="8"/>
      <c r="F1833" s="9"/>
    </row>
    <row r="1834" ht="20.25" customHeight="1">
      <c r="A1834" s="5"/>
      <c r="B1834" s="4"/>
      <c r="C1834" s="4"/>
      <c r="D1834" s="7"/>
      <c r="E1834" s="8"/>
      <c r="F1834" s="9"/>
    </row>
    <row r="1835" ht="20.25" customHeight="1">
      <c r="A1835" s="5"/>
      <c r="B1835" s="4"/>
      <c r="C1835" s="4"/>
      <c r="D1835" s="7"/>
      <c r="E1835" s="8"/>
      <c r="F1835" s="9"/>
    </row>
    <row r="1836" ht="20.25" customHeight="1">
      <c r="A1836" s="5"/>
      <c r="B1836" s="4"/>
      <c r="C1836" s="4"/>
      <c r="D1836" s="7"/>
      <c r="E1836" s="8"/>
      <c r="F1836" s="9"/>
    </row>
    <row r="1837" ht="20.25" customHeight="1">
      <c r="A1837" s="5"/>
      <c r="B1837" s="4"/>
      <c r="C1837" s="4"/>
      <c r="D1837" s="7"/>
      <c r="E1837" s="8"/>
      <c r="F1837" s="9"/>
    </row>
    <row r="1838" ht="20.25" customHeight="1">
      <c r="A1838" s="5"/>
      <c r="B1838" s="4"/>
      <c r="C1838" s="4"/>
      <c r="D1838" s="7"/>
      <c r="E1838" s="8"/>
      <c r="F1838" s="9"/>
    </row>
    <row r="1839" ht="20.25" customHeight="1">
      <c r="A1839" s="5"/>
      <c r="B1839" s="4"/>
      <c r="C1839" s="4"/>
      <c r="D1839" s="7"/>
      <c r="E1839" s="8"/>
      <c r="F1839" s="9"/>
    </row>
    <row r="1840" ht="20.25" customHeight="1">
      <c r="A1840" s="5"/>
      <c r="B1840" s="4"/>
      <c r="C1840" s="4"/>
      <c r="D1840" s="7"/>
      <c r="E1840" s="8"/>
      <c r="F1840" s="9"/>
    </row>
    <row r="1841" ht="20.25" customHeight="1">
      <c r="A1841" s="5"/>
      <c r="B1841" s="4"/>
      <c r="C1841" s="4"/>
      <c r="D1841" s="7"/>
      <c r="E1841" s="8"/>
      <c r="F1841" s="9"/>
    </row>
    <row r="1842" ht="20.25" customHeight="1">
      <c r="A1842" s="5"/>
      <c r="B1842" s="4"/>
      <c r="C1842" s="4"/>
      <c r="D1842" s="7"/>
      <c r="E1842" s="8"/>
      <c r="F1842" s="9"/>
    </row>
    <row r="1843" ht="20.25" customHeight="1">
      <c r="A1843" s="5"/>
      <c r="B1843" s="4"/>
      <c r="C1843" s="4"/>
      <c r="D1843" s="7"/>
      <c r="E1843" s="8"/>
      <c r="F1843" s="9"/>
    </row>
    <row r="1844" ht="20.25" customHeight="1">
      <c r="A1844" s="5"/>
      <c r="B1844" s="4"/>
      <c r="C1844" s="4"/>
      <c r="D1844" s="7"/>
      <c r="E1844" s="8"/>
      <c r="F1844" s="9"/>
    </row>
    <row r="1845" ht="20.25" customHeight="1">
      <c r="A1845" s="5"/>
      <c r="B1845" s="4"/>
      <c r="C1845" s="4"/>
      <c r="D1845" s="7"/>
      <c r="E1845" s="8"/>
      <c r="F1845" s="9"/>
    </row>
    <row r="1846" ht="20.25" customHeight="1">
      <c r="A1846" s="5"/>
      <c r="B1846" s="4"/>
      <c r="C1846" s="4"/>
      <c r="D1846" s="7"/>
      <c r="E1846" s="8"/>
      <c r="F1846" s="9"/>
    </row>
    <row r="1847" ht="20.25" customHeight="1">
      <c r="A1847" s="5"/>
      <c r="B1847" s="4"/>
      <c r="C1847" s="4"/>
      <c r="D1847" s="7"/>
      <c r="E1847" s="8"/>
      <c r="F1847" s="9"/>
    </row>
    <row r="1848" ht="20.25" customHeight="1">
      <c r="A1848" s="5"/>
      <c r="B1848" s="4"/>
      <c r="C1848" s="4"/>
      <c r="D1848" s="7"/>
      <c r="E1848" s="8"/>
      <c r="F1848" s="9"/>
    </row>
    <row r="1849" ht="20.25" customHeight="1">
      <c r="A1849" s="5"/>
      <c r="B1849" s="4"/>
      <c r="C1849" s="4"/>
      <c r="D1849" s="7"/>
      <c r="E1849" s="8"/>
      <c r="F1849" s="9"/>
    </row>
    <row r="1850" ht="20.25" customHeight="1">
      <c r="A1850" s="5"/>
      <c r="B1850" s="4"/>
      <c r="C1850" s="4"/>
      <c r="D1850" s="7"/>
      <c r="E1850" s="8"/>
      <c r="F1850" s="9"/>
    </row>
    <row r="1851" ht="20.25" customHeight="1">
      <c r="A1851" s="5"/>
      <c r="B1851" s="4"/>
      <c r="C1851" s="4"/>
      <c r="D1851" s="7"/>
      <c r="E1851" s="8"/>
      <c r="F1851" s="9"/>
    </row>
    <row r="1852" ht="20.25" customHeight="1">
      <c r="A1852" s="5"/>
      <c r="B1852" s="4"/>
      <c r="C1852" s="4"/>
      <c r="D1852" s="7"/>
      <c r="E1852" s="8"/>
      <c r="F1852" s="9"/>
    </row>
    <row r="1853" ht="20.25" customHeight="1">
      <c r="A1853" s="5"/>
      <c r="B1853" s="4"/>
      <c r="C1853" s="4"/>
      <c r="D1853" s="7"/>
      <c r="E1853" s="8"/>
      <c r="F1853" s="9"/>
    </row>
    <row r="1854" ht="20.25" customHeight="1">
      <c r="A1854" s="5"/>
      <c r="B1854" s="4"/>
      <c r="C1854" s="4"/>
      <c r="D1854" s="7"/>
      <c r="E1854" s="8"/>
      <c r="F1854" s="9"/>
    </row>
    <row r="1855" ht="20.25" customHeight="1">
      <c r="A1855" s="5"/>
      <c r="B1855" s="4"/>
      <c r="C1855" s="4"/>
      <c r="D1855" s="7"/>
      <c r="E1855" s="8"/>
      <c r="F1855" s="9"/>
    </row>
    <row r="1856" ht="20.25" customHeight="1">
      <c r="A1856" s="5"/>
      <c r="B1856" s="4"/>
      <c r="C1856" s="4"/>
      <c r="D1856" s="7"/>
      <c r="E1856" s="8"/>
      <c r="F1856" s="9"/>
    </row>
    <row r="1857" ht="20.25" customHeight="1">
      <c r="A1857" s="5"/>
      <c r="B1857" s="4"/>
      <c r="C1857" s="4"/>
      <c r="D1857" s="7"/>
      <c r="E1857" s="8"/>
      <c r="F1857" s="9"/>
    </row>
    <row r="1858" ht="20.25" customHeight="1">
      <c r="A1858" s="5"/>
      <c r="B1858" s="4"/>
      <c r="C1858" s="4"/>
      <c r="D1858" s="7"/>
      <c r="E1858" s="8"/>
      <c r="F1858" s="9"/>
    </row>
    <row r="1859" ht="20.25" customHeight="1">
      <c r="A1859" s="5"/>
      <c r="B1859" s="4"/>
      <c r="C1859" s="4"/>
      <c r="D1859" s="7"/>
      <c r="E1859" s="8"/>
      <c r="F1859" s="9"/>
    </row>
    <row r="1860" ht="20.25" customHeight="1">
      <c r="A1860" s="5"/>
      <c r="B1860" s="4"/>
      <c r="C1860" s="4"/>
      <c r="D1860" s="7"/>
      <c r="E1860" s="8"/>
      <c r="F1860" s="9"/>
    </row>
    <row r="1861" ht="20.25" customHeight="1">
      <c r="A1861" s="5"/>
      <c r="B1861" s="4"/>
      <c r="C1861" s="4"/>
      <c r="D1861" s="7"/>
      <c r="E1861" s="8"/>
      <c r="F1861" s="9"/>
    </row>
    <row r="1862" ht="20.25" customHeight="1">
      <c r="A1862" s="5"/>
      <c r="B1862" s="4"/>
      <c r="C1862" s="4"/>
      <c r="D1862" s="7"/>
      <c r="E1862" s="8"/>
      <c r="F1862" s="9"/>
    </row>
    <row r="1863" ht="20.25" customHeight="1">
      <c r="A1863" s="5"/>
      <c r="B1863" s="4"/>
      <c r="C1863" s="4"/>
      <c r="D1863" s="7"/>
      <c r="E1863" s="8"/>
      <c r="F1863" s="9"/>
    </row>
    <row r="1864" ht="20.25" customHeight="1">
      <c r="A1864" s="5"/>
      <c r="B1864" s="4"/>
      <c r="C1864" s="4"/>
      <c r="D1864" s="7"/>
      <c r="E1864" s="8"/>
      <c r="F1864" s="9"/>
    </row>
    <row r="1865" ht="20.25" customHeight="1">
      <c r="A1865" s="5"/>
      <c r="B1865" s="4"/>
      <c r="C1865" s="4"/>
      <c r="D1865" s="7"/>
      <c r="E1865" s="8"/>
      <c r="F1865" s="9"/>
    </row>
    <row r="1866" ht="20.25" customHeight="1">
      <c r="A1866" s="5"/>
      <c r="B1866" s="4"/>
      <c r="C1866" s="4"/>
      <c r="D1866" s="7"/>
      <c r="E1866" s="8"/>
      <c r="F1866" s="9"/>
    </row>
    <row r="1867" ht="20.25" customHeight="1">
      <c r="A1867" s="5"/>
      <c r="B1867" s="4"/>
      <c r="C1867" s="4"/>
      <c r="D1867" s="7"/>
      <c r="E1867" s="8"/>
      <c r="F1867" s="9"/>
    </row>
    <row r="1868" ht="20.25" customHeight="1">
      <c r="A1868" s="5"/>
      <c r="B1868" s="4"/>
      <c r="C1868" s="4"/>
      <c r="D1868" s="7"/>
      <c r="E1868" s="8"/>
      <c r="F1868" s="9"/>
    </row>
    <row r="1869" ht="20.25" customHeight="1">
      <c r="A1869" s="5"/>
      <c r="B1869" s="4"/>
      <c r="C1869" s="4"/>
      <c r="D1869" s="7"/>
      <c r="E1869" s="8"/>
      <c r="F1869" s="9"/>
    </row>
    <row r="1870" ht="20.25" customHeight="1">
      <c r="A1870" s="5"/>
      <c r="B1870" s="4"/>
      <c r="C1870" s="4"/>
      <c r="D1870" s="7"/>
      <c r="E1870" s="8"/>
      <c r="F1870" s="9"/>
    </row>
    <row r="1871" ht="20.25" customHeight="1">
      <c r="A1871" s="5"/>
      <c r="B1871" s="4"/>
      <c r="C1871" s="4"/>
      <c r="D1871" s="7"/>
      <c r="E1871" s="8"/>
      <c r="F1871" s="9"/>
    </row>
    <row r="1872" ht="20.25" customHeight="1">
      <c r="A1872" s="5"/>
      <c r="B1872" s="4"/>
      <c r="C1872" s="4"/>
      <c r="D1872" s="7"/>
      <c r="E1872" s="8"/>
      <c r="F1872" s="9"/>
    </row>
    <row r="1873" ht="20.25" customHeight="1">
      <c r="A1873" s="5"/>
      <c r="B1873" s="4"/>
      <c r="C1873" s="4"/>
      <c r="D1873" s="7"/>
      <c r="E1873" s="8"/>
      <c r="F1873" s="9"/>
    </row>
    <row r="1874" ht="20.25" customHeight="1">
      <c r="A1874" s="5"/>
      <c r="B1874" s="4"/>
      <c r="C1874" s="4"/>
      <c r="D1874" s="7"/>
      <c r="E1874" s="8"/>
      <c r="F1874" s="9"/>
    </row>
    <row r="1875" ht="20.25" customHeight="1">
      <c r="A1875" s="5"/>
      <c r="B1875" s="4"/>
      <c r="C1875" s="4"/>
      <c r="D1875" s="7"/>
      <c r="E1875" s="8"/>
      <c r="F1875" s="9"/>
    </row>
    <row r="1876" ht="20.25" customHeight="1">
      <c r="A1876" s="5"/>
      <c r="B1876" s="4"/>
      <c r="C1876" s="4"/>
      <c r="D1876" s="7"/>
      <c r="E1876" s="8"/>
      <c r="F1876" s="9"/>
    </row>
    <row r="1877" ht="20.25" customHeight="1">
      <c r="A1877" s="5"/>
      <c r="B1877" s="4"/>
      <c r="C1877" s="4"/>
      <c r="D1877" s="7"/>
      <c r="E1877" s="8"/>
      <c r="F1877" s="9"/>
    </row>
    <row r="1878" ht="20.25" customHeight="1">
      <c r="A1878" s="5"/>
      <c r="B1878" s="4"/>
      <c r="C1878" s="4"/>
      <c r="D1878" s="7"/>
      <c r="E1878" s="8"/>
      <c r="F1878" s="9"/>
    </row>
    <row r="1879" ht="20.25" customHeight="1">
      <c r="A1879" s="5"/>
      <c r="B1879" s="4"/>
      <c r="C1879" s="4"/>
      <c r="D1879" s="7"/>
      <c r="E1879" s="8"/>
      <c r="F1879" s="9"/>
    </row>
    <row r="1880" ht="20.25" customHeight="1">
      <c r="A1880" s="5"/>
      <c r="B1880" s="4"/>
      <c r="C1880" s="4"/>
      <c r="D1880" s="7"/>
      <c r="E1880" s="8"/>
      <c r="F1880" s="9"/>
    </row>
    <row r="1881" ht="20.25" customHeight="1">
      <c r="A1881" s="5"/>
      <c r="B1881" s="4"/>
      <c r="C1881" s="4"/>
      <c r="D1881" s="7"/>
      <c r="E1881" s="8"/>
      <c r="F1881" s="9"/>
    </row>
    <row r="1882" ht="20.25" customHeight="1">
      <c r="A1882" s="5"/>
      <c r="B1882" s="4"/>
      <c r="C1882" s="4"/>
      <c r="D1882" s="7"/>
      <c r="E1882" s="8"/>
      <c r="F1882" s="9"/>
    </row>
    <row r="1883" ht="20.25" customHeight="1">
      <c r="A1883" s="5"/>
      <c r="B1883" s="4"/>
      <c r="C1883" s="4"/>
      <c r="D1883" s="7"/>
      <c r="E1883" s="8"/>
      <c r="F1883" s="9"/>
    </row>
    <row r="1884" ht="20.25" customHeight="1">
      <c r="A1884" s="5"/>
      <c r="B1884" s="4"/>
      <c r="C1884" s="4"/>
      <c r="D1884" s="7"/>
      <c r="E1884" s="8"/>
      <c r="F1884" s="9"/>
    </row>
    <row r="1885" ht="20.25" customHeight="1">
      <c r="A1885" s="5"/>
      <c r="B1885" s="4"/>
      <c r="C1885" s="4"/>
      <c r="D1885" s="7"/>
      <c r="E1885" s="8"/>
      <c r="F1885" s="9"/>
    </row>
    <row r="1886" ht="20.25" customHeight="1">
      <c r="A1886" s="5"/>
      <c r="B1886" s="4"/>
      <c r="C1886" s="4"/>
      <c r="D1886" s="7"/>
      <c r="E1886" s="8"/>
      <c r="F1886" s="9"/>
    </row>
    <row r="1887" ht="20.25" customHeight="1">
      <c r="A1887" s="5"/>
      <c r="B1887" s="4"/>
      <c r="C1887" s="4"/>
      <c r="D1887" s="7"/>
      <c r="E1887" s="8"/>
      <c r="F1887" s="9"/>
    </row>
    <row r="1888" ht="20.25" customHeight="1">
      <c r="A1888" s="5"/>
      <c r="B1888" s="4"/>
      <c r="C1888" s="4"/>
      <c r="D1888" s="7"/>
      <c r="E1888" s="8"/>
      <c r="F1888" s="9"/>
    </row>
    <row r="1889" ht="20.25" customHeight="1">
      <c r="A1889" s="5"/>
      <c r="B1889" s="4"/>
      <c r="C1889" s="4"/>
      <c r="D1889" s="7"/>
      <c r="E1889" s="8"/>
      <c r="F1889" s="9"/>
    </row>
    <row r="1890" ht="20.25" customHeight="1">
      <c r="A1890" s="5"/>
      <c r="B1890" s="4"/>
      <c r="C1890" s="4"/>
      <c r="D1890" s="7"/>
      <c r="E1890" s="8"/>
      <c r="F1890" s="9"/>
    </row>
    <row r="1891" ht="20.25" customHeight="1">
      <c r="A1891" s="5"/>
      <c r="B1891" s="4"/>
      <c r="C1891" s="4"/>
      <c r="D1891" s="7"/>
      <c r="E1891" s="8"/>
      <c r="F1891" s="9"/>
    </row>
    <row r="1892" ht="20.25" customHeight="1">
      <c r="A1892" s="5"/>
      <c r="B1892" s="4"/>
      <c r="C1892" s="4"/>
      <c r="D1892" s="7"/>
      <c r="E1892" s="8"/>
      <c r="F1892" s="9"/>
    </row>
    <row r="1893" ht="20.25" customHeight="1">
      <c r="A1893" s="5"/>
      <c r="B1893" s="4"/>
      <c r="C1893" s="4"/>
      <c r="D1893" s="7"/>
      <c r="E1893" s="8"/>
      <c r="F1893" s="9"/>
    </row>
    <row r="1894" ht="20.25" customHeight="1">
      <c r="A1894" s="5"/>
      <c r="B1894" s="4"/>
      <c r="C1894" s="4"/>
      <c r="D1894" s="7"/>
      <c r="E1894" s="8"/>
      <c r="F1894" s="9"/>
    </row>
    <row r="1895" ht="20.25" customHeight="1">
      <c r="A1895" s="5"/>
      <c r="B1895" s="4"/>
      <c r="C1895" s="4"/>
      <c r="D1895" s="7"/>
      <c r="E1895" s="8"/>
      <c r="F1895" s="9"/>
    </row>
    <row r="1896" ht="20.25" customHeight="1">
      <c r="A1896" s="5"/>
      <c r="B1896" s="4"/>
      <c r="C1896" s="4"/>
      <c r="D1896" s="7"/>
      <c r="E1896" s="8"/>
      <c r="F1896" s="9"/>
    </row>
    <row r="1897" ht="20.25" customHeight="1">
      <c r="A1897" s="5"/>
      <c r="B1897" s="4"/>
      <c r="C1897" s="4"/>
      <c r="D1897" s="7"/>
      <c r="E1897" s="8"/>
      <c r="F1897" s="9"/>
    </row>
    <row r="1898" ht="20.25" customHeight="1">
      <c r="A1898" s="5"/>
      <c r="B1898" s="4"/>
      <c r="C1898" s="4"/>
      <c r="D1898" s="7"/>
      <c r="E1898" s="8"/>
      <c r="F1898" s="9"/>
    </row>
    <row r="1899" ht="20.25" customHeight="1">
      <c r="A1899" s="5"/>
      <c r="B1899" s="4"/>
      <c r="C1899" s="4"/>
      <c r="D1899" s="7"/>
      <c r="E1899" s="8"/>
      <c r="F1899" s="9"/>
    </row>
    <row r="1900" ht="20.25" customHeight="1">
      <c r="A1900" s="5"/>
      <c r="B1900" s="4"/>
      <c r="C1900" s="4"/>
      <c r="D1900" s="7"/>
      <c r="E1900" s="8"/>
      <c r="F1900" s="9"/>
    </row>
    <row r="1901" ht="20.25" customHeight="1">
      <c r="A1901" s="5"/>
      <c r="B1901" s="4"/>
      <c r="C1901" s="4"/>
      <c r="D1901" s="7"/>
      <c r="E1901" s="8"/>
      <c r="F1901" s="9"/>
    </row>
    <row r="1902" ht="20.25" customHeight="1">
      <c r="A1902" s="5"/>
      <c r="B1902" s="4"/>
      <c r="C1902" s="4"/>
      <c r="D1902" s="7"/>
      <c r="E1902" s="8"/>
      <c r="F1902" s="9"/>
    </row>
    <row r="1903" ht="20.25" customHeight="1">
      <c r="A1903" s="5"/>
      <c r="B1903" s="4"/>
      <c r="C1903" s="4"/>
      <c r="D1903" s="7"/>
      <c r="E1903" s="8"/>
      <c r="F1903" s="9"/>
    </row>
    <row r="1904" ht="20.25" customHeight="1">
      <c r="A1904" s="5"/>
      <c r="B1904" s="4"/>
      <c r="C1904" s="4"/>
      <c r="D1904" s="7"/>
      <c r="E1904" s="8"/>
      <c r="F1904" s="9"/>
    </row>
    <row r="1905" ht="20.25" customHeight="1">
      <c r="A1905" s="5"/>
      <c r="B1905" s="4"/>
      <c r="C1905" s="4"/>
      <c r="D1905" s="7"/>
      <c r="E1905" s="8"/>
      <c r="F1905" s="9"/>
    </row>
    <row r="1906" ht="20.25" customHeight="1">
      <c r="A1906" s="5"/>
      <c r="B1906" s="4"/>
      <c r="C1906" s="4"/>
      <c r="D1906" s="7"/>
      <c r="E1906" s="8"/>
      <c r="F1906" s="9"/>
    </row>
    <row r="1907" ht="20.25" customHeight="1">
      <c r="A1907" s="5"/>
      <c r="B1907" s="4"/>
      <c r="C1907" s="4"/>
      <c r="D1907" s="7"/>
      <c r="E1907" s="8"/>
      <c r="F1907" s="9"/>
    </row>
    <row r="1908" ht="20.25" customHeight="1">
      <c r="A1908" s="5"/>
      <c r="B1908" s="4"/>
      <c r="C1908" s="4"/>
      <c r="D1908" s="7"/>
      <c r="E1908" s="8"/>
      <c r="F1908" s="9"/>
    </row>
    <row r="1909" ht="20.25" customHeight="1">
      <c r="A1909" s="5"/>
      <c r="B1909" s="4"/>
      <c r="C1909" s="4"/>
      <c r="D1909" s="7"/>
      <c r="E1909" s="8"/>
      <c r="F1909" s="9"/>
    </row>
    <row r="1910" ht="20.25" customHeight="1">
      <c r="A1910" s="5"/>
      <c r="B1910" s="4"/>
      <c r="C1910" s="4"/>
      <c r="D1910" s="7"/>
      <c r="E1910" s="8"/>
      <c r="F1910" s="9"/>
    </row>
    <row r="1911" ht="20.25" customHeight="1">
      <c r="A1911" s="5"/>
      <c r="B1911" s="4"/>
      <c r="C1911" s="4"/>
      <c r="D1911" s="7"/>
      <c r="E1911" s="8"/>
      <c r="F1911" s="9"/>
    </row>
    <row r="1912" ht="20.25" customHeight="1">
      <c r="A1912" s="5"/>
      <c r="B1912" s="4"/>
      <c r="C1912" s="4"/>
      <c r="D1912" s="7"/>
      <c r="E1912" s="8"/>
      <c r="F1912" s="9"/>
    </row>
    <row r="1913" ht="20.25" customHeight="1">
      <c r="A1913" s="5"/>
      <c r="B1913" s="4"/>
      <c r="C1913" s="4"/>
      <c r="D1913" s="7"/>
      <c r="E1913" s="8"/>
      <c r="F1913" s="9"/>
    </row>
    <row r="1914" ht="20.25" customHeight="1">
      <c r="A1914" s="5"/>
      <c r="B1914" s="4"/>
      <c r="C1914" s="4"/>
      <c r="D1914" s="7"/>
      <c r="E1914" s="8"/>
      <c r="F1914" s="9"/>
    </row>
    <row r="1915" ht="20.25" customHeight="1">
      <c r="A1915" s="5"/>
      <c r="B1915" s="4"/>
      <c r="C1915" s="4"/>
      <c r="D1915" s="7"/>
      <c r="E1915" s="8"/>
      <c r="F1915" s="9"/>
    </row>
    <row r="1916" ht="20.25" customHeight="1">
      <c r="A1916" s="5"/>
      <c r="B1916" s="4"/>
      <c r="C1916" s="4"/>
      <c r="D1916" s="7"/>
      <c r="E1916" s="8"/>
      <c r="F1916" s="9"/>
    </row>
    <row r="1917" ht="20.25" customHeight="1">
      <c r="A1917" s="5"/>
      <c r="B1917" s="4"/>
      <c r="C1917" s="4"/>
      <c r="D1917" s="7"/>
      <c r="E1917" s="8"/>
      <c r="F1917" s="9"/>
    </row>
    <row r="1918" ht="20.25" customHeight="1">
      <c r="A1918" s="5"/>
      <c r="B1918" s="4"/>
      <c r="C1918" s="4"/>
      <c r="D1918" s="7"/>
      <c r="E1918" s="8"/>
      <c r="F1918" s="9"/>
    </row>
    <row r="1919" ht="20.25" customHeight="1">
      <c r="A1919" s="5"/>
      <c r="B1919" s="4"/>
      <c r="C1919" s="4"/>
      <c r="D1919" s="7"/>
      <c r="E1919" s="8"/>
      <c r="F1919" s="9"/>
    </row>
    <row r="1920" ht="20.25" customHeight="1">
      <c r="A1920" s="5"/>
      <c r="B1920" s="4"/>
      <c r="C1920" s="4"/>
      <c r="D1920" s="7"/>
      <c r="E1920" s="8"/>
      <c r="F1920" s="9"/>
    </row>
    <row r="1921" ht="20.25" customHeight="1">
      <c r="A1921" s="5"/>
      <c r="B1921" s="4"/>
      <c r="C1921" s="4"/>
      <c r="D1921" s="7"/>
      <c r="E1921" s="8"/>
      <c r="F1921" s="9"/>
    </row>
    <row r="1922" ht="20.25" customHeight="1">
      <c r="A1922" s="5"/>
      <c r="B1922" s="4"/>
      <c r="C1922" s="4"/>
      <c r="D1922" s="7"/>
      <c r="E1922" s="8"/>
      <c r="F1922" s="9"/>
    </row>
    <row r="1923" ht="20.25" customHeight="1">
      <c r="A1923" s="5"/>
      <c r="B1923" s="4"/>
      <c r="C1923" s="4"/>
      <c r="D1923" s="7"/>
      <c r="E1923" s="8"/>
      <c r="F1923" s="9"/>
    </row>
    <row r="1924" ht="20.25" customHeight="1">
      <c r="A1924" s="5"/>
      <c r="B1924" s="4"/>
      <c r="C1924" s="4"/>
      <c r="D1924" s="7"/>
      <c r="E1924" s="8"/>
      <c r="F1924" s="9"/>
    </row>
    <row r="1925" ht="20.25" customHeight="1">
      <c r="A1925" s="5"/>
      <c r="B1925" s="4"/>
      <c r="C1925" s="4"/>
      <c r="D1925" s="7"/>
      <c r="E1925" s="8"/>
      <c r="F1925" s="9"/>
    </row>
    <row r="1926" ht="20.25" customHeight="1">
      <c r="A1926" s="5"/>
      <c r="B1926" s="4"/>
      <c r="C1926" s="4"/>
      <c r="D1926" s="7"/>
      <c r="E1926" s="8"/>
      <c r="F1926" s="9"/>
    </row>
    <row r="1927" ht="20.25" customHeight="1">
      <c r="A1927" s="5"/>
      <c r="B1927" s="4"/>
      <c r="C1927" s="4"/>
      <c r="D1927" s="7"/>
      <c r="E1927" s="8"/>
      <c r="F1927" s="9"/>
    </row>
    <row r="1928" ht="20.25" customHeight="1">
      <c r="A1928" s="5"/>
      <c r="B1928" s="4"/>
      <c r="C1928" s="4"/>
      <c r="D1928" s="7"/>
      <c r="E1928" s="8"/>
      <c r="F1928" s="9"/>
    </row>
    <row r="1929" ht="20.25" customHeight="1">
      <c r="A1929" s="5"/>
      <c r="B1929" s="4"/>
      <c r="C1929" s="4"/>
      <c r="D1929" s="7"/>
      <c r="E1929" s="8"/>
      <c r="F1929" s="9"/>
    </row>
    <row r="1930" ht="20.25" customHeight="1">
      <c r="A1930" s="5"/>
      <c r="B1930" s="4"/>
      <c r="C1930" s="4"/>
      <c r="D1930" s="7"/>
      <c r="E1930" s="8"/>
      <c r="F1930" s="9"/>
    </row>
    <row r="1931" ht="20.25" customHeight="1">
      <c r="A1931" s="5"/>
      <c r="B1931" s="4"/>
      <c r="C1931" s="4"/>
      <c r="D1931" s="7"/>
      <c r="E1931" s="8"/>
      <c r="F1931" s="9"/>
    </row>
    <row r="1932" ht="20.25" customHeight="1">
      <c r="A1932" s="5"/>
      <c r="B1932" s="4"/>
      <c r="C1932" s="4"/>
      <c r="D1932" s="7"/>
      <c r="E1932" s="8"/>
      <c r="F1932" s="9"/>
    </row>
    <row r="1933" ht="20.25" customHeight="1">
      <c r="A1933" s="5"/>
      <c r="B1933" s="4"/>
      <c r="C1933" s="4"/>
      <c r="D1933" s="7"/>
      <c r="E1933" s="8"/>
      <c r="F1933" s="9"/>
    </row>
  </sheetData>
  <autoFilter ref="$A$1:$F$1044"/>
  <conditionalFormatting sqref="D2:E1933">
    <cfRule type="expression" dxfId="0" priority="1">
      <formula>$C2=1</formula>
    </cfRule>
  </conditionalFormatting>
  <conditionalFormatting sqref="D2:E1933">
    <cfRule type="expression" dxfId="1" priority="2">
      <formula>$C2=2</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3" width="70.86"/>
    <col customWidth="1" min="4" max="4" width="3.86"/>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20" t="s">
        <v>3332</v>
      </c>
      <c r="C3" s="5"/>
      <c r="D3" s="5"/>
      <c r="E3" s="5"/>
      <c r="F3" s="5"/>
      <c r="G3" s="5"/>
      <c r="H3" s="5"/>
      <c r="I3" s="5"/>
      <c r="J3" s="5"/>
      <c r="K3" s="5"/>
      <c r="L3" s="5"/>
      <c r="M3" s="5"/>
      <c r="N3" s="5"/>
      <c r="O3" s="5"/>
      <c r="P3" s="5"/>
      <c r="Q3" s="5"/>
      <c r="R3" s="5"/>
      <c r="S3" s="5"/>
      <c r="T3" s="5"/>
      <c r="U3" s="5"/>
      <c r="V3" s="5"/>
      <c r="W3" s="5"/>
      <c r="X3" s="5"/>
      <c r="Y3" s="5"/>
      <c r="Z3" s="5"/>
    </row>
    <row r="4" ht="19.5" customHeight="1">
      <c r="A4" s="21"/>
      <c r="B4" s="22">
        <f>IFERROR(__xludf.DUMMYFUNCTION("IFERROR(
  RANDBETWEEN(
    1,
    ROWS( FILTER('내가 모은 문장'!D2:D1000, LEN(TRIM('내가 모은 문장'!D2:D1000))&gt;0) )
  ),
  """"
)
"),508.0)</f>
        <v>508</v>
      </c>
      <c r="C4" s="21"/>
      <c r="D4" s="21"/>
      <c r="E4" s="5"/>
      <c r="F4" s="5"/>
      <c r="G4" s="5"/>
      <c r="H4" s="5"/>
      <c r="I4" s="5"/>
      <c r="J4" s="5"/>
      <c r="K4" s="5"/>
      <c r="L4" s="5"/>
      <c r="M4" s="5"/>
      <c r="N4" s="5"/>
      <c r="O4" s="5"/>
      <c r="P4" s="5"/>
      <c r="Q4" s="5"/>
      <c r="R4" s="5"/>
      <c r="S4" s="5"/>
      <c r="T4" s="5"/>
      <c r="U4" s="5"/>
      <c r="V4" s="5"/>
      <c r="W4" s="5"/>
      <c r="X4" s="5"/>
      <c r="Y4" s="5"/>
      <c r="Z4" s="5"/>
    </row>
    <row r="5" ht="164.25" customHeight="1">
      <c r="A5" s="21"/>
      <c r="B5" s="23" t="str">
        <f>IFERROR(__xludf.DUMMYFUNCTION("IFERROR(
  INDEX(
    FILTER('내가 모은 문장'!D2:D1000, LEN(TRIM('내가 모은 문장'!D2:D1000))&gt;0),
    $B$4
  ),
  """"
)"),"the new manager was in our corner when it comes to overtime pay")</f>
        <v>the new manager was in our corner when it comes to overtime pay</v>
      </c>
      <c r="C5" s="24" t="str">
        <f>IFERROR(__xludf.DUMMYFUNCTION("IFERROR(
  INDEX(
    FILTER('내가 모은 문장'!E2:E1000, LEN(TRIM('내가 모은 문장'!D2:D1000))&gt;0),
    $B$4
  ),
  """"
)"),"새 매니저는 초과 근무 수당 문제에 있어서 우리 편이었어요.")</f>
        <v>새 매니저는 초과 근무 수당 문제에 있어서 우리 편이었어요.</v>
      </c>
      <c r="D5" s="21"/>
      <c r="E5" s="5"/>
      <c r="F5" s="5"/>
      <c r="G5" s="5"/>
      <c r="H5" s="5"/>
      <c r="I5" s="5"/>
      <c r="J5" s="5"/>
      <c r="K5" s="5"/>
      <c r="L5" s="5"/>
      <c r="M5" s="5"/>
      <c r="N5" s="5"/>
      <c r="O5" s="5"/>
      <c r="P5" s="5"/>
      <c r="Q5" s="5"/>
      <c r="R5" s="5"/>
      <c r="S5" s="5"/>
      <c r="T5" s="5"/>
      <c r="U5" s="5"/>
      <c r="V5" s="5"/>
      <c r="W5" s="5"/>
      <c r="X5" s="5"/>
      <c r="Y5" s="5"/>
      <c r="Z5" s="5"/>
    </row>
    <row r="6">
      <c r="A6" s="21"/>
      <c r="B6" s="21"/>
      <c r="C6" s="21"/>
      <c r="D6" s="21"/>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6.29"/>
  </cols>
  <sheetData>
    <row r="1">
      <c r="B1" s="25" t="s">
        <v>3333</v>
      </c>
    </row>
    <row r="2">
      <c r="B2" s="26" t="s">
        <v>3334</v>
      </c>
    </row>
    <row r="3">
      <c r="B3" s="27" t="s">
        <v>3335</v>
      </c>
    </row>
    <row r="4">
      <c r="B4" s="28"/>
    </row>
    <row r="5">
      <c r="B5" s="26" t="s">
        <v>3336</v>
      </c>
    </row>
    <row r="8">
      <c r="B8" s="25" t="s">
        <v>3337</v>
      </c>
    </row>
    <row r="9">
      <c r="B9" s="27" t="s">
        <v>3338</v>
      </c>
    </row>
    <row r="11">
      <c r="B11" s="27" t="s">
        <v>3339</v>
      </c>
      <c r="C11" s="29"/>
    </row>
    <row r="12">
      <c r="C12" s="28"/>
    </row>
    <row r="13">
      <c r="B13" s="27" t="s">
        <v>3340</v>
      </c>
    </row>
    <row r="15">
      <c r="B15" s="27" t="s">
        <v>3341</v>
      </c>
    </row>
    <row r="17">
      <c r="B17" s="27" t="s">
        <v>3342</v>
      </c>
    </row>
    <row r="20">
      <c r="B20" s="25" t="s">
        <v>3343</v>
      </c>
    </row>
    <row r="21">
      <c r="B21" s="27" t="s">
        <v>3344</v>
      </c>
    </row>
    <row r="23">
      <c r="B23" s="27" t="s">
        <v>3345</v>
      </c>
    </row>
    <row r="26">
      <c r="B26" s="30" t="s">
        <v>3346</v>
      </c>
    </row>
    <row r="27">
      <c r="B27" s="27" t="s">
        <v>3347</v>
      </c>
    </row>
    <row r="29">
      <c r="B29" s="27" t="s">
        <v>3348</v>
      </c>
    </row>
    <row r="31">
      <c r="B31" s="31" t="s">
        <v>3349</v>
      </c>
    </row>
    <row r="32">
      <c r="B32" s="32" t="s">
        <v>3350</v>
      </c>
    </row>
  </sheetData>
  <hyperlinks>
    <hyperlink r:id="rId1" ref="B2"/>
    <hyperlink r:id="rId2" ref="B3"/>
    <hyperlink r:id="rId3" ref="B5"/>
    <hyperlink r:id="rId4" ref="B9"/>
    <hyperlink r:id="rId5" ref="B11"/>
    <hyperlink r:id="rId6" ref="B13"/>
    <hyperlink r:id="rId7" ref="B15"/>
    <hyperlink r:id="rId8" ref="B17"/>
    <hyperlink r:id="rId9" ref="B21"/>
    <hyperlink r:id="rId10" ref="B23"/>
    <hyperlink r:id="rId11" ref="B27"/>
    <hyperlink r:id="rId12" ref="B29"/>
    <hyperlink r:id="rId13" ref="B32"/>
  </hyperlinks>
  <drawing r:id="rId14"/>
</worksheet>
</file>